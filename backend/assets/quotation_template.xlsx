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aff\MKT FILES\Quotation and Inquiry\2026\7 July 2026\Quotation July 2026\"/>
    </mc:Choice>
  </mc:AlternateContent>
  <xr:revisionPtr revIDLastSave="0" documentId="13_ncr:1_{E76A2441-43DB-4A07-BA6C-3C470DED52B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Sheet1!$B$1:$P$70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26" i="1" l="1"/>
  <c r="N41" i="1" s="1"/>
  <c r="A1" i="2" l="1"/>
  <c r="L102" i="2"/>
  <c r="L101" i="2"/>
  <c r="L100" i="2"/>
  <c r="L99" i="2"/>
  <c r="L98" i="2"/>
  <c r="L97" i="2"/>
  <c r="L96" i="2"/>
  <c r="L95" i="2"/>
  <c r="L94" i="2"/>
  <c r="L92" i="2"/>
  <c r="L91" i="2"/>
  <c r="L90" i="2"/>
  <c r="L89" i="2"/>
  <c r="L88" i="2"/>
  <c r="L87" i="2"/>
  <c r="L86" i="2"/>
  <c r="L85" i="2"/>
  <c r="L84" i="2"/>
  <c r="L82" i="2"/>
  <c r="L81" i="2"/>
  <c r="L80" i="2"/>
  <c r="L79" i="2"/>
  <c r="L78" i="2"/>
  <c r="L77" i="2"/>
  <c r="L76" i="2"/>
  <c r="L75" i="2"/>
  <c r="L74" i="2"/>
  <c r="L72" i="2"/>
  <c r="L71" i="2"/>
  <c r="L70" i="2"/>
  <c r="L69" i="2"/>
  <c r="L68" i="2"/>
  <c r="L67" i="2"/>
  <c r="L66" i="2"/>
  <c r="L65" i="2"/>
  <c r="L64" i="2"/>
  <c r="L62" i="2"/>
  <c r="L61" i="2"/>
  <c r="L60" i="2"/>
  <c r="L59" i="2"/>
  <c r="L58" i="2"/>
  <c r="L57" i="2"/>
  <c r="L56" i="2"/>
  <c r="L55" i="2"/>
  <c r="L54" i="2"/>
  <c r="L52" i="2"/>
  <c r="L51" i="2"/>
  <c r="L50" i="2"/>
  <c r="L49" i="2"/>
  <c r="L48" i="2"/>
  <c r="L47" i="2"/>
  <c r="L46" i="2"/>
  <c r="L45" i="2"/>
  <c r="L44" i="2"/>
  <c r="L42" i="2"/>
  <c r="L41" i="2"/>
  <c r="L40" i="2"/>
  <c r="L39" i="2"/>
  <c r="L38" i="2"/>
  <c r="L37" i="2"/>
  <c r="L36" i="2"/>
  <c r="L35" i="2"/>
  <c r="L34" i="2"/>
  <c r="L32" i="2"/>
  <c r="L31" i="2"/>
  <c r="L30" i="2"/>
  <c r="L29" i="2"/>
  <c r="L28" i="2"/>
  <c r="L27" i="2"/>
  <c r="L26" i="2"/>
  <c r="L25" i="2"/>
  <c r="L24" i="2"/>
  <c r="L22" i="2"/>
  <c r="L21" i="2"/>
  <c r="L20" i="2"/>
  <c r="L19" i="2"/>
  <c r="L18" i="2"/>
  <c r="L17" i="2"/>
  <c r="L16" i="2"/>
  <c r="L15" i="2"/>
  <c r="B13" i="2" l="1"/>
  <c r="B23" i="2"/>
  <c r="D23" i="2" l="1"/>
  <c r="E23" i="2"/>
  <c r="C23" i="2"/>
  <c r="E13" i="2"/>
  <c r="C13" i="2"/>
  <c r="D13" i="2"/>
  <c r="B14" i="2" l="1"/>
  <c r="B24" i="2"/>
  <c r="C24" i="2" l="1"/>
  <c r="D24" i="2"/>
  <c r="E24" i="2"/>
  <c r="C14" i="2"/>
  <c r="D14" i="2"/>
  <c r="E14" i="2"/>
  <c r="B15" i="2" l="1"/>
  <c r="B25" i="2"/>
  <c r="C25" i="2" l="1"/>
  <c r="E25" i="2"/>
  <c r="D25" i="2"/>
  <c r="E15" i="2"/>
  <c r="D15" i="2"/>
  <c r="C15" i="2"/>
  <c r="B26" i="2" l="1"/>
  <c r="B16" i="2"/>
  <c r="D16" i="2" l="1"/>
  <c r="C16" i="2"/>
  <c r="E16" i="2"/>
  <c r="D26" i="2"/>
  <c r="C26" i="2"/>
  <c r="E26" i="2"/>
  <c r="B27" i="2" l="1"/>
  <c r="B17" i="2"/>
  <c r="C17" i="2" l="1"/>
  <c r="E17" i="2"/>
  <c r="D17" i="2"/>
  <c r="D27" i="2"/>
  <c r="C27" i="2"/>
  <c r="E27" i="2"/>
  <c r="B28" i="2" l="1"/>
  <c r="B18" i="2"/>
  <c r="C18" i="2" l="1"/>
  <c r="D18" i="2"/>
  <c r="C28" i="2"/>
  <c r="D28" i="2"/>
  <c r="B29" i="2" l="1"/>
  <c r="B19" i="2"/>
  <c r="E19" i="2" l="1"/>
  <c r="D19" i="2"/>
  <c r="D29" i="2"/>
  <c r="E29" i="2"/>
  <c r="E18" i="2"/>
  <c r="E28" i="2"/>
  <c r="A8" i="2" l="1"/>
  <c r="A5" i="2"/>
  <c r="D43" i="1" s="1"/>
</calcChain>
</file>

<file path=xl/sharedStrings.xml><?xml version="1.0" encoding="utf-8"?>
<sst xmlns="http://schemas.openxmlformats.org/spreadsheetml/2006/main" count="188" uniqueCount="180">
  <si>
    <t>QUOTATION</t>
  </si>
  <si>
    <t>Thank you for your inquiry and support to our company. With pleasure, we submit the quotes to your request as follows:</t>
  </si>
  <si>
    <t>NO</t>
  </si>
  <si>
    <t>DESCRIPTION</t>
  </si>
  <si>
    <t>QTY</t>
  </si>
  <si>
    <t>We trust that above quotation is acceptable to you and we look forward to your favorable reply, should you require</t>
  </si>
  <si>
    <t>any further information, please do not hesitate to contact me.</t>
  </si>
  <si>
    <t>Yours faithfully,</t>
  </si>
  <si>
    <t>Term &amp; Conditions :</t>
  </si>
  <si>
    <t>- Payment Term</t>
  </si>
  <si>
    <t>- Validity</t>
  </si>
  <si>
    <t>PT MITRA KARYA SARANA</t>
  </si>
  <si>
    <t>Mr. Asiong Lu</t>
  </si>
  <si>
    <t>Sales Dept</t>
  </si>
  <si>
    <t xml:space="preserve">ATTENTION </t>
  </si>
  <si>
    <t>:</t>
  </si>
  <si>
    <t>Page : 1~1</t>
  </si>
  <si>
    <t>Zero</t>
  </si>
  <si>
    <t>Nol</t>
  </si>
  <si>
    <t>One</t>
  </si>
  <si>
    <t>Satu</t>
  </si>
  <si>
    <t>Two</t>
  </si>
  <si>
    <t>Dua</t>
  </si>
  <si>
    <t>Three</t>
  </si>
  <si>
    <t>Tiga</t>
  </si>
  <si>
    <t>Four</t>
  </si>
  <si>
    <t>Empat</t>
  </si>
  <si>
    <t>Five</t>
  </si>
  <si>
    <t>Lima</t>
  </si>
  <si>
    <t>Six</t>
  </si>
  <si>
    <t>Enam</t>
  </si>
  <si>
    <t>Seven</t>
  </si>
  <si>
    <t>Tujuh</t>
  </si>
  <si>
    <t>Eight</t>
  </si>
  <si>
    <t>Delapan</t>
  </si>
  <si>
    <t>BAHASA ENGLISH</t>
  </si>
  <si>
    <t>Nine</t>
  </si>
  <si>
    <t>Sembilan</t>
  </si>
  <si>
    <t>ratusan juta</t>
  </si>
  <si>
    <t>Ten</t>
  </si>
  <si>
    <t>Sepuluh</t>
  </si>
  <si>
    <t>puluhan juta</t>
  </si>
  <si>
    <t>Eleven</t>
  </si>
  <si>
    <t>Sebelas</t>
  </si>
  <si>
    <t>ratusan ribu</t>
  </si>
  <si>
    <t>Twelve</t>
  </si>
  <si>
    <t>ribuan</t>
  </si>
  <si>
    <t>Thirteen</t>
  </si>
  <si>
    <t>ratusan</t>
  </si>
  <si>
    <t>Fourteen</t>
  </si>
  <si>
    <t>puluhan</t>
  </si>
  <si>
    <t>Fifteen</t>
  </si>
  <si>
    <t>cents</t>
  </si>
  <si>
    <t>Sixteen</t>
  </si>
  <si>
    <t>Seventeen</t>
  </si>
  <si>
    <t>Eightteen</t>
  </si>
  <si>
    <t>BAHASA INDONSIA</t>
  </si>
  <si>
    <t>Nineteen</t>
  </si>
  <si>
    <t>Twenty</t>
  </si>
  <si>
    <t>Dua Puluh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</si>
  <si>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</si>
  <si>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</si>
  <si>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</si>
  <si>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</si>
  <si>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</si>
  <si>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</si>
  <si>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</si>
  <si>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</si>
  <si>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</si>
  <si>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</si>
  <si>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Tiga Puluh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</si>
  <si>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</si>
  <si>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</si>
  <si>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</si>
  <si>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</si>
  <si>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</si>
  <si>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</si>
  <si>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</si>
  <si>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</si>
  <si>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</si>
  <si>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</si>
  <si>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Empat Puluh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</si>
  <si>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</si>
  <si>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</si>
  <si>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</si>
  <si>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</si>
  <si>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</si>
  <si>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</si>
  <si>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</si>
  <si>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</si>
  <si>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</si>
  <si>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</si>
  <si>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Lima Puluh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</si>
  <si>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</si>
  <si>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</si>
  <si>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</si>
  <si>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</si>
  <si>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</si>
  <si>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</si>
  <si>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</si>
  <si>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</si>
  <si>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</si>
  <si>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</si>
  <si>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Enam Puluh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</si>
  <si>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</si>
  <si>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</si>
  <si>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</si>
  <si>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</si>
  <si>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</si>
  <si>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</si>
  <si>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</si>
  <si>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</si>
  <si>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</si>
  <si>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</si>
  <si>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Tujuh Puluh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</si>
  <si>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</si>
  <si>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</si>
  <si>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</si>
  <si>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</si>
  <si>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</si>
  <si>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</si>
  <si>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</si>
  <si>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</si>
  <si>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</si>
  <si>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</si>
  <si>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Delapan Puluh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</si>
  <si>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</si>
  <si>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</si>
  <si>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</si>
  <si>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</si>
  <si>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</si>
  <si>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</si>
  <si>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</si>
  <si>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</si>
  <si>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</si>
  <si>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</si>
  <si>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Sembilan Puluh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</si>
  <si>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</si>
  <si>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</si>
  <si>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</si>
  <si>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</si>
  <si>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</si>
  <si>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</si>
  <si>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</si>
  <si>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</si>
  <si>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</si>
  <si>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In Words :  #</t>
  </si>
  <si>
    <t>CC</t>
  </si>
  <si>
    <t>Batam Island - Indonesia</t>
  </si>
  <si>
    <t>Jalan Bukit Girang TT II Batu Ampar</t>
  </si>
  <si>
    <t>Phone : +62 778 411358 ext.125</t>
  </si>
  <si>
    <t xml:space="preserve">Fax : +62 778 411309 </t>
  </si>
  <si>
    <t>- Delivery Time</t>
  </si>
  <si>
    <t>AMOUNT (IDR)</t>
  </si>
  <si>
    <t>Unit Price (IDR)</t>
  </si>
  <si>
    <t>GRAND TOTAL (IDR)</t>
  </si>
  <si>
    <t>Approved By :</t>
  </si>
  <si>
    <t>Mr. Nicholas Jacky. C</t>
  </si>
  <si>
    <t>Purchasing Dept.</t>
  </si>
  <si>
    <t>SPM Oil &amp; Gas</t>
  </si>
  <si>
    <t>Business Dev. Manager</t>
  </si>
  <si>
    <t>: 90 days upon invoice date</t>
  </si>
  <si>
    <t>EA</t>
  </si>
  <si>
    <t>Note :</t>
  </si>
  <si>
    <t>: 1 week from the date of quotation</t>
  </si>
  <si>
    <t>: 6 weeks after received PO</t>
  </si>
  <si>
    <t>- Exclude blasting, painting/coating, phosphating</t>
  </si>
  <si>
    <t>- Exclude transportation for delivery</t>
  </si>
  <si>
    <t>This quotation is based on full quantity order, not valid for partial order and PT. MKS reserves</t>
  </si>
  <si>
    <t>the right to revise the quotation if there is any deviation or partial order being awarded</t>
  </si>
  <si>
    <t>Pak Chandra Sapta Marcos</t>
  </si>
  <si>
    <t>QUOTE NO : 009/MKS/Q/VII/2026</t>
  </si>
  <si>
    <t>BBDA95S3I-4 RING, FLOAT, 4 NOM, INC 825</t>
  </si>
  <si>
    <t>- Include C-114 Coat for item RING, FLOAT, 4 NOM, INC 825</t>
  </si>
  <si>
    <t>- Exclude liquid penetrant inspect, hardness check, wet magnetic inspection, any NDT process</t>
  </si>
  <si>
    <t>- Tolerance for size 6.363", 6.187", 5.066", 4.870" offered to +0.025"</t>
  </si>
  <si>
    <r>
      <t xml:space="preserve">- Tolerance for size 4.580", 5.878" offered to </t>
    </r>
    <r>
      <rPr>
        <b/>
        <u/>
        <sz val="9"/>
        <rFont val="Arial"/>
        <family val="2"/>
      </rPr>
      <t>+</t>
    </r>
    <r>
      <rPr>
        <b/>
        <sz val="9"/>
        <rFont val="Arial"/>
        <family val="2"/>
      </rPr>
      <t>0.005"</t>
    </r>
  </si>
  <si>
    <t>- Include material Inconel 825 (UNS N08825)</t>
  </si>
  <si>
    <t>QUOTE DATE : Friday, 10 July 2026</t>
  </si>
  <si>
    <t>- Source origin :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</si>
</sst>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 * #,##0.00000_ ;_ * \-#,##0.00000_ ;_ * &quot;-&quot;??_ ;_ @_ "/>
    <numFmt numFmtId="166" formatCode="_ * #,##0_ ;_ * \-#,##0_ ;_ * &quot;-&quot;??_ ;_ @_ "/>
    <numFmt numFmtId="167" formatCode="[$IDR]\ #,##0_);\([$IDR]\ #,##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omic Sans MS"/>
      <family val="4"/>
    </font>
    <font>
      <sz val="12"/>
      <name val="Helv"/>
    </font>
    <font>
      <sz val="12"/>
      <name val="Calibri"/>
      <family val="2"/>
      <scheme val="minor"/>
    </font>
    <font>
      <sz val="10"/>
      <name val="Arial"/>
      <family val="2"/>
    </font>
    <font>
      <sz val="12"/>
      <color indexed="12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80"/>
      <name val="Courier New"/>
      <family val="3"/>
    </font>
    <font>
      <b/>
      <sz val="10"/>
      <color rgb="FFFF0000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39" fontId="7" fillId="2" borderId="0" xfId="2" applyNumberFormat="1" applyFont="1" applyFill="1" applyProtection="1"/>
    <xf numFmtId="0" fontId="7" fillId="0" borderId="0" xfId="2" applyFont="1"/>
    <xf numFmtId="165" fontId="9" fillId="0" borderId="0" xfId="3" applyNumberFormat="1" applyFont="1"/>
    <xf numFmtId="0" fontId="7" fillId="0" borderId="0" xfId="2" applyFont="1" applyProtection="1"/>
    <xf numFmtId="0" fontId="7" fillId="0" borderId="0" xfId="2" applyFont="1" applyAlignment="1" applyProtection="1">
      <alignment horizontal="left"/>
    </xf>
    <xf numFmtId="39" fontId="7" fillId="0" borderId="0" xfId="2" applyNumberFormat="1" applyFont="1" applyProtection="1"/>
    <xf numFmtId="0" fontId="7" fillId="0" borderId="0" xfId="2" applyFont="1" applyAlignment="1" applyProtection="1">
      <alignment vertical="top" wrapText="1"/>
    </xf>
    <xf numFmtId="0" fontId="7" fillId="0" borderId="0" xfId="2" applyFont="1" applyAlignment="1">
      <alignment wrapText="1"/>
    </xf>
    <xf numFmtId="0" fontId="7" fillId="0" borderId="0" xfId="2" applyFont="1" applyAlignment="1" applyProtection="1">
      <alignment horizontal="left" vertical="top" wrapText="1"/>
    </xf>
    <xf numFmtId="0" fontId="7" fillId="0" borderId="0" xfId="2" applyFont="1" applyAlignment="1"/>
    <xf numFmtId="0" fontId="9" fillId="0" borderId="0" xfId="2" applyFont="1"/>
    <xf numFmtId="166" fontId="7" fillId="0" borderId="0" xfId="3" applyNumberFormat="1" applyFont="1"/>
    <xf numFmtId="166" fontId="7" fillId="0" borderId="0" xfId="3" applyNumberFormat="1" applyFont="1" applyProtection="1"/>
    <xf numFmtId="166" fontId="7" fillId="0" borderId="0" xfId="3" applyNumberFormat="1" applyFont="1" applyAlignment="1" applyProtection="1">
      <alignment horizontal="right"/>
    </xf>
    <xf numFmtId="166" fontId="7" fillId="0" borderId="0" xfId="2" applyNumberFormat="1" applyFont="1" applyAlignment="1" applyProtection="1">
      <alignment horizontal="right"/>
    </xf>
    <xf numFmtId="164" fontId="7" fillId="0" borderId="0" xfId="3" applyFont="1" applyFill="1"/>
    <xf numFmtId="164" fontId="7" fillId="0" borderId="0" xfId="3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Font="1"/>
    <xf numFmtId="0" fontId="8" fillId="0" borderId="0" xfId="0" applyFont="1"/>
    <xf numFmtId="0" fontId="2" fillId="0" borderId="0" xfId="0" applyFont="1" applyBorder="1" applyAlignment="1">
      <alignment horizontal="right"/>
    </xf>
    <xf numFmtId="0" fontId="2" fillId="3" borderId="0" xfId="0" applyFont="1" applyFill="1"/>
    <xf numFmtId="0" fontId="2" fillId="3" borderId="0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/>
    </xf>
    <xf numFmtId="0" fontId="16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167" fontId="19" fillId="0" borderId="0" xfId="1" applyNumberFormat="1" applyFont="1" applyAlignment="1">
      <alignment horizontal="center"/>
    </xf>
    <xf numFmtId="0" fontId="20" fillId="0" borderId="0" xfId="0" quotePrefix="1" applyFont="1" applyAlignment="1">
      <alignment vertical="center"/>
    </xf>
    <xf numFmtId="0" fontId="19" fillId="0" borderId="0" xfId="0" applyFont="1" applyAlignment="1">
      <alignment horizontal="left" vertical="center"/>
    </xf>
    <xf numFmtId="2" fontId="19" fillId="0" borderId="0" xfId="0" applyNumberFormat="1" applyFont="1" applyAlignment="1">
      <alignment horizontal="right" vertical="center"/>
    </xf>
    <xf numFmtId="0" fontId="17" fillId="0" borderId="0" xfId="0" applyFont="1" applyAlignment="1"/>
    <xf numFmtId="0" fontId="19" fillId="0" borderId="1" xfId="0" applyFont="1" applyBorder="1"/>
    <xf numFmtId="0" fontId="19" fillId="0" borderId="1" xfId="0" applyFont="1" applyBorder="1" applyAlignment="1">
      <alignment horizontal="right"/>
    </xf>
    <xf numFmtId="0" fontId="19" fillId="0" borderId="1" xfId="0" applyFont="1" applyBorder="1" applyAlignme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1" applyNumberFormat="1" applyFont="1" applyAlignment="1">
      <alignment horizontal="right"/>
    </xf>
    <xf numFmtId="167" fontId="19" fillId="0" borderId="0" xfId="1" applyNumberFormat="1" applyFont="1" applyAlignment="1">
      <alignment horizontal="right" vertical="center"/>
    </xf>
    <xf numFmtId="167" fontId="19" fillId="0" borderId="0" xfId="1" applyNumberFormat="1" applyFont="1" applyAlignment="1">
      <alignment horizontal="center" vertical="center"/>
    </xf>
    <xf numFmtId="0" fontId="22" fillId="0" borderId="4" xfId="0" applyFont="1" applyBorder="1" applyAlignment="1">
      <alignment vertical="center"/>
    </xf>
    <xf numFmtId="167" fontId="19" fillId="0" borderId="0" xfId="1" applyNumberFormat="1" applyFont="1" applyAlignment="1">
      <alignment horizontal="right" vertical="center"/>
    </xf>
    <xf numFmtId="167" fontId="20" fillId="0" borderId="1" xfId="1" applyNumberFormat="1" applyFont="1" applyBorder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167" fontId="19" fillId="0" borderId="0" xfId="1" applyNumberFormat="1" applyFont="1" applyAlignment="1">
      <alignment horizontal="right" vertical="center"/>
    </xf>
    <xf numFmtId="0" fontId="21" fillId="0" borderId="0" xfId="0" quotePrefix="1" applyFont="1" applyAlignment="1">
      <alignment horizontal="left" vertical="center" wrapText="1"/>
    </xf>
    <xf numFmtId="0" fontId="7" fillId="0" borderId="0" xfId="2" applyFont="1" applyAlignment="1" applyProtection="1">
      <alignment horizontal="left" vertical="top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1" fillId="0" borderId="0" xfId="0" quotePrefix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4">
    <cellStyle name="Comma_SAY" xfId="3" xr:uid="{00000000-0005-0000-0000-000000000000}"/>
    <cellStyle name="Currency" xfId="1" builtinId="4"/>
    <cellStyle name="Normal" xfId="0" builtinId="0"/>
    <cellStyle name="Normal_SAY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61</xdr:row>
      <xdr:rowOff>104776</xdr:rowOff>
    </xdr:from>
    <xdr:to>
      <xdr:col>5</xdr:col>
      <xdr:colOff>161925</xdr:colOff>
      <xdr:row>64</xdr:row>
      <xdr:rowOff>152401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6351" y="8886826"/>
          <a:ext cx="1266824" cy="5334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152400</xdr:colOff>
      <xdr:row>61</xdr:row>
      <xdr:rowOff>9525</xdr:rowOff>
    </xdr:from>
    <xdr:to>
      <xdr:col>6</xdr:col>
      <xdr:colOff>609600</xdr:colOff>
      <xdr:row>65</xdr:row>
      <xdr:rowOff>19050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8333"/>
        <a:stretch>
          <a:fillRect/>
        </a:stretch>
      </xdr:blipFill>
      <xdr:spPr bwMode="auto">
        <a:xfrm>
          <a:off x="2533650" y="8791575"/>
          <a:ext cx="81915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66676</xdr:colOff>
      <xdr:row>61</xdr:row>
      <xdr:rowOff>76200</xdr:rowOff>
    </xdr:from>
    <xdr:to>
      <xdr:col>2</xdr:col>
      <xdr:colOff>257175</xdr:colOff>
      <xdr:row>64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6276" y="9848850"/>
          <a:ext cx="581024" cy="5238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609599</xdr:colOff>
      <xdr:row>1</xdr:row>
      <xdr:rowOff>19051</xdr:rowOff>
    </xdr:from>
    <xdr:ext cx="9039225" cy="1247774"/>
    <xdr:grpSp>
      <xdr:nvGrpSpPr>
        <xdr:cNvPr id="14" name="Shape 2">
          <a:extLst>
            <a:ext uri="{FF2B5EF4-FFF2-40B4-BE49-F238E27FC236}">
              <a16:creationId xmlns:a16="http://schemas.microsoft.com/office/drawing/2014/main" id="{16304262-B85A-456F-846B-D12DCFBE8632}"/>
            </a:ext>
          </a:extLst>
        </xdr:cNvPr>
        <xdr:cNvGrpSpPr/>
      </xdr:nvGrpSpPr>
      <xdr:grpSpPr>
        <a:xfrm>
          <a:off x="609599" y="180976"/>
          <a:ext cx="9039225" cy="1247774"/>
          <a:chOff x="1216913" y="3237075"/>
          <a:chExt cx="8258175" cy="1085850"/>
        </a:xfrm>
      </xdr:grpSpPr>
      <xdr:grpSp>
        <xdr:nvGrpSpPr>
          <xdr:cNvPr id="15" name="Shape 3">
            <a:extLst>
              <a:ext uri="{FF2B5EF4-FFF2-40B4-BE49-F238E27FC236}">
                <a16:creationId xmlns:a16="http://schemas.microsoft.com/office/drawing/2014/main" id="{1E87CC5D-D261-4478-B4AA-49AA87B4737D}"/>
              </a:ext>
            </a:extLst>
          </xdr:cNvPr>
          <xdr:cNvGrpSpPr/>
        </xdr:nvGrpSpPr>
        <xdr:grpSpPr>
          <a:xfrm>
            <a:off x="1216913" y="3237075"/>
            <a:ext cx="8258175" cy="1085850"/>
            <a:chOff x="1216913" y="3237075"/>
            <a:chExt cx="8258175" cy="1085850"/>
          </a:xfrm>
        </xdr:grpSpPr>
        <xdr:sp macro="" textlink="">
          <xdr:nvSpPr>
            <xdr:cNvPr id="17" name="Shape 4">
              <a:extLst>
                <a:ext uri="{FF2B5EF4-FFF2-40B4-BE49-F238E27FC236}">
                  <a16:creationId xmlns:a16="http://schemas.microsoft.com/office/drawing/2014/main" id="{C9832EAF-B618-46BC-A232-D4CAE569641C}"/>
                </a:ext>
              </a:extLst>
            </xdr:cNvPr>
            <xdr:cNvSpPr/>
          </xdr:nvSpPr>
          <xdr:spPr>
            <a:xfrm>
              <a:off x="1216913" y="3237075"/>
              <a:ext cx="8258175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" name="Shape 5">
              <a:extLst>
                <a:ext uri="{FF2B5EF4-FFF2-40B4-BE49-F238E27FC236}">
                  <a16:creationId xmlns:a16="http://schemas.microsoft.com/office/drawing/2014/main" id="{5BFF2DAD-4D5D-4FE5-889B-382A1E189D08}"/>
                </a:ext>
              </a:extLst>
            </xdr:cNvPr>
            <xdr:cNvGrpSpPr/>
          </xdr:nvGrpSpPr>
          <xdr:grpSpPr>
            <a:xfrm>
              <a:off x="1216913" y="3237075"/>
              <a:ext cx="8258175" cy="1085850"/>
              <a:chOff x="623" y="746"/>
              <a:chExt cx="10809" cy="1411"/>
            </a:xfrm>
          </xdr:grpSpPr>
          <xdr:sp macro="" textlink="">
            <xdr:nvSpPr>
              <xdr:cNvPr id="19" name="Shape 6">
                <a:extLst>
                  <a:ext uri="{FF2B5EF4-FFF2-40B4-BE49-F238E27FC236}">
                    <a16:creationId xmlns:a16="http://schemas.microsoft.com/office/drawing/2014/main" id="{6FCFF60A-F4D4-4A64-B938-50E7CE89DFE9}"/>
                  </a:ext>
                </a:extLst>
              </xdr:cNvPr>
              <xdr:cNvSpPr/>
            </xdr:nvSpPr>
            <xdr:spPr>
              <a:xfrm>
                <a:off x="623" y="746"/>
                <a:ext cx="10800" cy="1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" name="Shape 8">
                <a:extLst>
                  <a:ext uri="{FF2B5EF4-FFF2-40B4-BE49-F238E27FC236}">
                    <a16:creationId xmlns:a16="http://schemas.microsoft.com/office/drawing/2014/main" id="{D87F48AC-08CD-4748-AE8C-40C155F53C2F}"/>
                  </a:ext>
                </a:extLst>
              </xdr:cNvPr>
              <xdr:cNvGrpSpPr/>
            </xdr:nvGrpSpPr>
            <xdr:grpSpPr>
              <a:xfrm>
                <a:off x="623" y="2065"/>
                <a:ext cx="10809" cy="92"/>
                <a:chOff x="623" y="2141"/>
                <a:chExt cx="10809" cy="92"/>
              </a:xfrm>
            </xdr:grpSpPr>
            <xdr:cxnSp macro="">
              <xdr:nvCxnSpPr>
                <xdr:cNvPr id="21" name="Shape 9">
                  <a:extLst>
                    <a:ext uri="{FF2B5EF4-FFF2-40B4-BE49-F238E27FC236}">
                      <a16:creationId xmlns:a16="http://schemas.microsoft.com/office/drawing/2014/main" id="{645EFFF6-F493-4EB9-8A7B-E6A9B05A0B6B}"/>
                    </a:ext>
                  </a:extLst>
                </xdr:cNvPr>
                <xdr:cNvCxnSpPr/>
              </xdr:nvCxnSpPr>
              <xdr:spPr>
                <a:xfrm>
                  <a:off x="623" y="2141"/>
                  <a:ext cx="10809" cy="0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" name="Shape 10">
                  <a:extLst>
                    <a:ext uri="{FF2B5EF4-FFF2-40B4-BE49-F238E27FC236}">
                      <a16:creationId xmlns:a16="http://schemas.microsoft.com/office/drawing/2014/main" id="{16F6A649-F5C4-48BD-B511-808A3774AF71}"/>
                    </a:ext>
                  </a:extLst>
                </xdr:cNvPr>
                <xdr:cNvCxnSpPr/>
              </xdr:nvCxnSpPr>
              <xdr:spPr>
                <a:xfrm>
                  <a:off x="623" y="2233"/>
                  <a:ext cx="10809" cy="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twoCellAnchor editAs="oneCell">
    <xdr:from>
      <xdr:col>1</xdr:col>
      <xdr:colOff>0</xdr:colOff>
      <xdr:row>0</xdr:row>
      <xdr:rowOff>0</xdr:rowOff>
    </xdr:from>
    <xdr:to>
      <xdr:col>15</xdr:col>
      <xdr:colOff>247650</xdr:colOff>
      <xdr:row>7</xdr:row>
      <xdr:rowOff>85725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023364-000E-47D2-A3A4-A465B3D01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0"/>
          <a:ext cx="88201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1:P69"/>
  <sheetViews>
    <sheetView tabSelected="1" workbookViewId="0">
      <selection activeCell="I17" sqref="I17"/>
    </sheetView>
  </sheetViews>
  <sheetFormatPr defaultRowHeight="12.75" x14ac:dyDescent="0.2"/>
  <cols>
    <col min="1" max="1" width="9.140625" style="1"/>
    <col min="2" max="2" width="5.85546875" style="1" customWidth="1"/>
    <col min="3" max="3" width="11.85546875" style="1" customWidth="1"/>
    <col min="4" max="4" width="3.42578125" style="1" customWidth="1"/>
    <col min="5" max="6" width="5.42578125" style="1" customWidth="1"/>
    <col min="7" max="7" width="11.28515625" style="1" customWidth="1"/>
    <col min="8" max="8" width="9.140625" style="1"/>
    <col min="9" max="9" width="35" style="1" customWidth="1"/>
    <col min="10" max="10" width="3" style="1" customWidth="1"/>
    <col min="11" max="11" width="4.140625" style="1" bestFit="1" customWidth="1"/>
    <col min="12" max="12" width="15.140625" style="1" customWidth="1"/>
    <col min="13" max="13" width="3.28515625" style="1" customWidth="1"/>
    <col min="14" max="14" width="9" style="1" customWidth="1"/>
    <col min="15" max="15" width="6.5703125" style="1" customWidth="1"/>
    <col min="16" max="16384" width="9.140625" style="1"/>
  </cols>
  <sheetData>
    <row r="11" spans="2:15" ht="15.75" x14ac:dyDescent="0.25">
      <c r="B11" s="6" t="s">
        <v>0</v>
      </c>
    </row>
    <row r="13" spans="2:15" x14ac:dyDescent="0.2">
      <c r="B13" s="32" t="s">
        <v>159</v>
      </c>
      <c r="C13" s="33"/>
      <c r="D13" s="33"/>
      <c r="E13" s="33"/>
      <c r="F13" s="33"/>
      <c r="G13" s="33"/>
      <c r="L13" s="28" t="s">
        <v>171</v>
      </c>
      <c r="M13" s="5"/>
      <c r="N13" s="5"/>
      <c r="O13" s="5"/>
    </row>
    <row r="14" spans="2:15" ht="15" x14ac:dyDescent="0.25">
      <c r="B14" s="36" t="s">
        <v>149</v>
      </c>
      <c r="C14" s="31"/>
      <c r="D14" s="31"/>
      <c r="E14" s="31"/>
      <c r="F14" s="31"/>
      <c r="G14" s="30"/>
      <c r="H14" s="30"/>
      <c r="I14" s="31"/>
      <c r="J14"/>
      <c r="L14" s="28" t="s">
        <v>178</v>
      </c>
      <c r="M14" s="5"/>
      <c r="N14" s="5"/>
      <c r="O14" s="5"/>
    </row>
    <row r="15" spans="2:15" ht="15.75" x14ac:dyDescent="0.3">
      <c r="B15" s="29" t="s">
        <v>148</v>
      </c>
      <c r="C15" s="31"/>
      <c r="D15" s="31"/>
      <c r="E15" s="31"/>
      <c r="F15" s="31"/>
      <c r="G15" s="30"/>
      <c r="H15" s="31"/>
      <c r="I15" s="30"/>
      <c r="J15" s="8"/>
      <c r="L15" s="5" t="s">
        <v>16</v>
      </c>
      <c r="M15" s="5"/>
      <c r="N15" s="5"/>
      <c r="O15" s="5"/>
    </row>
    <row r="16" spans="2:15" ht="15" x14ac:dyDescent="0.25">
      <c r="B16" s="29" t="s">
        <v>150</v>
      </c>
      <c r="C16" s="31"/>
      <c r="D16" s="31"/>
      <c r="E16" s="31"/>
      <c r="F16" s="31" t="s">
        <v>151</v>
      </c>
      <c r="G16" s="31"/>
      <c r="H16" s="31"/>
      <c r="I16" s="31"/>
      <c r="J16"/>
      <c r="L16" s="44"/>
      <c r="M16" s="5"/>
    </row>
    <row r="17" spans="2:16" ht="15" x14ac:dyDescent="0.25">
      <c r="B17" s="29"/>
      <c r="C17"/>
      <c r="D17"/>
      <c r="E17"/>
      <c r="F17"/>
      <c r="G17" s="34"/>
      <c r="H17"/>
      <c r="I17"/>
      <c r="J17"/>
      <c r="L17" s="44"/>
    </row>
    <row r="19" spans="2:16" x14ac:dyDescent="0.2">
      <c r="B19" s="7" t="s">
        <v>14</v>
      </c>
      <c r="C19" s="7"/>
      <c r="D19" s="7" t="s">
        <v>15</v>
      </c>
      <c r="E19" s="7" t="s">
        <v>170</v>
      </c>
      <c r="F19" s="7"/>
    </row>
    <row r="20" spans="2:16" x14ac:dyDescent="0.2">
      <c r="B20" s="7" t="s">
        <v>147</v>
      </c>
      <c r="C20" s="7"/>
      <c r="D20" s="7" t="s">
        <v>15</v>
      </c>
      <c r="E20" s="7" t="s">
        <v>158</v>
      </c>
      <c r="F20" s="7"/>
    </row>
    <row r="22" spans="2:16" x14ac:dyDescent="0.2">
      <c r="B22" s="1" t="s">
        <v>1</v>
      </c>
    </row>
    <row r="24" spans="2:16" ht="15" customHeight="1" x14ac:dyDescent="0.2">
      <c r="B24" s="4" t="s">
        <v>2</v>
      </c>
      <c r="C24" s="3" t="s">
        <v>3</v>
      </c>
      <c r="D24" s="3"/>
      <c r="E24" s="3"/>
      <c r="F24" s="3"/>
      <c r="G24" s="3"/>
      <c r="H24" s="3"/>
      <c r="I24" s="3"/>
      <c r="J24" s="70" t="s">
        <v>4</v>
      </c>
      <c r="K24" s="70"/>
      <c r="L24" s="3" t="s">
        <v>154</v>
      </c>
      <c r="M24" s="3"/>
      <c r="N24" s="70" t="s">
        <v>153</v>
      </c>
      <c r="O24" s="70"/>
    </row>
    <row r="25" spans="2:16" ht="15" customHeight="1" x14ac:dyDescent="0.2">
      <c r="B25" s="26"/>
      <c r="C25" s="27"/>
      <c r="D25" s="27"/>
      <c r="E25" s="27"/>
      <c r="F25" s="27"/>
      <c r="G25" s="27"/>
      <c r="H25" s="27"/>
      <c r="I25" s="27"/>
      <c r="J25" s="26"/>
      <c r="K25" s="26"/>
      <c r="L25" s="27"/>
      <c r="M25" s="27"/>
      <c r="N25" s="26"/>
      <c r="O25" s="26"/>
    </row>
    <row r="26" spans="2:16" ht="17.25" customHeight="1" x14ac:dyDescent="0.25">
      <c r="B26" s="58">
        <v>1</v>
      </c>
      <c r="C26" s="68" t="s">
        <v>172</v>
      </c>
      <c r="D26" s="69"/>
      <c r="E26" s="69"/>
      <c r="F26" s="69"/>
      <c r="G26" s="69"/>
      <c r="H26" s="69"/>
      <c r="I26" s="69"/>
      <c r="J26" s="59">
        <v>10</v>
      </c>
      <c r="K26" s="52" t="s">
        <v>162</v>
      </c>
      <c r="L26" s="63">
        <v>6200000</v>
      </c>
      <c r="M26" s="64"/>
      <c r="N26" s="71">
        <f t="shared" ref="N26" si="0">SUM(L26*J26)</f>
        <v>62000000</v>
      </c>
      <c r="O26" s="71"/>
      <c r="P26" s="35"/>
    </row>
    <row r="27" spans="2:16" ht="15" customHeight="1" x14ac:dyDescent="0.25">
      <c r="B27" s="58"/>
      <c r="C27" s="60"/>
      <c r="D27" s="61"/>
      <c r="E27" s="61"/>
      <c r="F27" s="61"/>
      <c r="G27" s="61"/>
      <c r="H27" s="61"/>
      <c r="I27" s="61"/>
      <c r="J27" s="59"/>
      <c r="K27" s="52"/>
      <c r="L27" s="62"/>
      <c r="M27" s="50"/>
      <c r="N27" s="62"/>
      <c r="O27" s="62"/>
      <c r="P27" s="35"/>
    </row>
    <row r="28" spans="2:16" ht="15" x14ac:dyDescent="0.25">
      <c r="B28" s="46"/>
      <c r="C28" s="45" t="s">
        <v>163</v>
      </c>
      <c r="D28" s="47"/>
      <c r="E28" s="47"/>
      <c r="F28" s="47"/>
      <c r="G28" s="47"/>
      <c r="H28" s="47"/>
      <c r="I28" s="47"/>
      <c r="J28" s="48"/>
      <c r="K28" s="49"/>
      <c r="L28" s="62"/>
      <c r="M28" s="50"/>
      <c r="N28" s="62"/>
      <c r="O28" s="62"/>
      <c r="P28" s="35"/>
    </row>
    <row r="29" spans="2:16" s="75" customFormat="1" ht="15" x14ac:dyDescent="0.25">
      <c r="B29" s="58"/>
      <c r="C29" s="72" t="s">
        <v>177</v>
      </c>
      <c r="D29" s="72"/>
      <c r="E29" s="72"/>
      <c r="F29" s="72"/>
      <c r="G29" s="72"/>
      <c r="H29" s="72"/>
      <c r="I29" s="72"/>
      <c r="J29" s="59"/>
      <c r="K29" s="52"/>
      <c r="L29" s="66"/>
      <c r="M29" s="64"/>
      <c r="N29" s="66"/>
      <c r="O29" s="66"/>
      <c r="P29" s="74"/>
    </row>
    <row r="30" spans="2:16" s="75" customFormat="1" ht="15" x14ac:dyDescent="0.25">
      <c r="B30" s="58"/>
      <c r="C30" s="76" t="s">
        <v>179</v>
      </c>
      <c r="D30" s="76"/>
      <c r="E30" s="76"/>
      <c r="F30" s="76"/>
      <c r="G30" s="76"/>
      <c r="H30" s="76"/>
      <c r="I30" s="76"/>
      <c r="J30" s="59"/>
      <c r="K30" s="52"/>
      <c r="L30" s="66"/>
      <c r="M30" s="64"/>
      <c r="N30" s="66"/>
      <c r="O30" s="66"/>
      <c r="P30" s="74"/>
    </row>
    <row r="31" spans="2:16" s="75" customFormat="1" ht="15" x14ac:dyDescent="0.25">
      <c r="B31" s="58"/>
      <c r="C31" s="76" t="s">
        <v>175</v>
      </c>
      <c r="D31" s="76"/>
      <c r="E31" s="76"/>
      <c r="F31" s="76"/>
      <c r="G31" s="76"/>
      <c r="H31" s="76"/>
      <c r="I31" s="76"/>
      <c r="J31" s="59"/>
      <c r="K31" s="52"/>
      <c r="L31" s="66"/>
      <c r="M31" s="64"/>
      <c r="N31" s="66"/>
      <c r="O31" s="66"/>
      <c r="P31" s="74"/>
    </row>
    <row r="32" spans="2:16" s="75" customFormat="1" ht="15" x14ac:dyDescent="0.25">
      <c r="B32" s="58"/>
      <c r="C32" s="76" t="s">
        <v>176</v>
      </c>
      <c r="D32" s="76"/>
      <c r="E32" s="76"/>
      <c r="F32" s="76"/>
      <c r="G32" s="76"/>
      <c r="H32" s="76"/>
      <c r="I32" s="76"/>
      <c r="J32" s="59"/>
      <c r="K32" s="52"/>
      <c r="L32" s="66"/>
      <c r="M32" s="64"/>
      <c r="N32" s="66"/>
      <c r="O32" s="66"/>
      <c r="P32" s="74"/>
    </row>
    <row r="33" spans="2:16" s="75" customFormat="1" ht="15" x14ac:dyDescent="0.25">
      <c r="B33" s="58"/>
      <c r="C33" s="76" t="s">
        <v>173</v>
      </c>
      <c r="D33" s="76"/>
      <c r="E33" s="76"/>
      <c r="F33" s="76"/>
      <c r="G33" s="76"/>
      <c r="H33" s="76"/>
      <c r="I33" s="76"/>
      <c r="J33" s="59"/>
      <c r="K33" s="52"/>
      <c r="L33" s="66"/>
      <c r="M33" s="64"/>
      <c r="N33" s="66"/>
      <c r="O33" s="66"/>
      <c r="P33" s="74"/>
    </row>
    <row r="34" spans="2:16" s="75" customFormat="1" ht="15" x14ac:dyDescent="0.25">
      <c r="B34" s="58"/>
      <c r="C34" s="76" t="s">
        <v>174</v>
      </c>
      <c r="D34" s="76"/>
      <c r="E34" s="76"/>
      <c r="F34" s="76"/>
      <c r="G34" s="76"/>
      <c r="H34" s="76"/>
      <c r="I34" s="76"/>
      <c r="J34" s="59"/>
      <c r="K34" s="52"/>
      <c r="L34" s="66"/>
      <c r="M34" s="64"/>
      <c r="N34" s="66"/>
      <c r="O34" s="66"/>
      <c r="P34" s="74"/>
    </row>
    <row r="35" spans="2:16" s="75" customFormat="1" ht="15" x14ac:dyDescent="0.25">
      <c r="B35" s="58"/>
      <c r="C35" s="76" t="s">
        <v>166</v>
      </c>
      <c r="D35" s="76"/>
      <c r="E35" s="76"/>
      <c r="F35" s="76"/>
      <c r="G35" s="76"/>
      <c r="H35" s="76"/>
      <c r="I35" s="76"/>
      <c r="J35" s="59"/>
      <c r="K35" s="52"/>
      <c r="L35" s="66"/>
      <c r="M35" s="64"/>
      <c r="N35" s="66"/>
      <c r="O35" s="66"/>
      <c r="P35" s="74"/>
    </row>
    <row r="36" spans="2:16" s="75" customFormat="1" ht="15" customHeight="1" x14ac:dyDescent="0.25">
      <c r="B36" s="58"/>
      <c r="C36" s="51" t="s">
        <v>167</v>
      </c>
      <c r="D36" s="52"/>
      <c r="E36" s="52"/>
      <c r="F36" s="53"/>
      <c r="G36" s="52"/>
      <c r="H36" s="60"/>
      <c r="I36" s="61"/>
      <c r="J36" s="59"/>
      <c r="K36" s="52"/>
      <c r="L36" s="66"/>
      <c r="M36" s="64"/>
      <c r="N36" s="66"/>
      <c r="O36" s="66"/>
      <c r="P36" s="74"/>
    </row>
    <row r="37" spans="2:16" s="75" customFormat="1" ht="15" customHeight="1" x14ac:dyDescent="0.25">
      <c r="B37" s="58"/>
      <c r="C37" s="51"/>
      <c r="D37" s="52"/>
      <c r="E37" s="52"/>
      <c r="F37" s="53"/>
      <c r="G37" s="52"/>
      <c r="H37" s="60"/>
      <c r="I37" s="61"/>
      <c r="J37" s="59"/>
      <c r="K37" s="52"/>
      <c r="L37" s="66"/>
      <c r="M37" s="64"/>
      <c r="N37" s="66"/>
      <c r="O37" s="66"/>
      <c r="P37" s="74"/>
    </row>
    <row r="38" spans="2:16" s="75" customFormat="1" ht="15" customHeight="1" x14ac:dyDescent="0.25">
      <c r="B38" s="58"/>
      <c r="C38" s="65" t="s">
        <v>168</v>
      </c>
      <c r="D38" s="61"/>
      <c r="E38" s="61"/>
      <c r="F38" s="61"/>
      <c r="G38" s="61"/>
      <c r="H38" s="77"/>
      <c r="I38" s="77"/>
      <c r="J38" s="59"/>
      <c r="K38" s="52"/>
      <c r="L38" s="66"/>
      <c r="M38" s="64"/>
      <c r="N38" s="66"/>
      <c r="O38" s="66"/>
      <c r="P38" s="74"/>
    </row>
    <row r="39" spans="2:16" s="75" customFormat="1" ht="15" customHeight="1" x14ac:dyDescent="0.25">
      <c r="B39" s="58"/>
      <c r="C39" s="78" t="s">
        <v>169</v>
      </c>
      <c r="D39" s="61"/>
      <c r="E39" s="61"/>
      <c r="F39" s="61"/>
      <c r="G39" s="61"/>
      <c r="H39" s="77"/>
      <c r="I39" s="77"/>
      <c r="J39" s="59"/>
      <c r="K39" s="52"/>
      <c r="L39" s="66"/>
      <c r="M39" s="64"/>
      <c r="N39" s="66"/>
      <c r="O39" s="66"/>
      <c r="P39" s="74"/>
    </row>
    <row r="40" spans="2:16" ht="15" customHeight="1" x14ac:dyDescent="0.25">
      <c r="B40" s="46"/>
      <c r="C40" s="51"/>
      <c r="D40" s="52"/>
      <c r="E40" s="52"/>
      <c r="F40" s="53"/>
      <c r="G40" s="52"/>
      <c r="H40" s="54"/>
      <c r="I40" s="47"/>
      <c r="J40" s="48"/>
      <c r="K40" s="49"/>
      <c r="L40" s="62"/>
      <c r="M40" s="50"/>
      <c r="N40" s="62"/>
      <c r="O40" s="62"/>
      <c r="P40" s="35"/>
    </row>
    <row r="41" spans="2:16" x14ac:dyDescent="0.2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6" t="s">
        <v>155</v>
      </c>
      <c r="M41" s="57"/>
      <c r="N41" s="67">
        <f>SUM(N26:N40)</f>
        <v>62000000</v>
      </c>
      <c r="O41" s="67"/>
    </row>
    <row r="43" spans="2:16" x14ac:dyDescent="0.2">
      <c r="B43" s="1" t="s">
        <v>146</v>
      </c>
      <c r="D43" s="1" t="str">
        <f>Sheet2!A5</f>
        <v>Sixty Two Millions IDR Only #</v>
      </c>
    </row>
    <row r="47" spans="2:16" x14ac:dyDescent="0.2">
      <c r="B47" s="1" t="s">
        <v>8</v>
      </c>
    </row>
    <row r="48" spans="2:16" x14ac:dyDescent="0.2">
      <c r="C48" s="2" t="s">
        <v>9</v>
      </c>
      <c r="G48" s="2" t="s">
        <v>161</v>
      </c>
    </row>
    <row r="49" spans="2:14" x14ac:dyDescent="0.2">
      <c r="C49" s="2" t="s">
        <v>152</v>
      </c>
      <c r="G49" s="1" t="s">
        <v>165</v>
      </c>
    </row>
    <row r="50" spans="2:14" x14ac:dyDescent="0.2">
      <c r="C50" s="2" t="s">
        <v>10</v>
      </c>
      <c r="G50" s="2" t="s">
        <v>164</v>
      </c>
    </row>
    <row r="51" spans="2:14" x14ac:dyDescent="0.2">
      <c r="C51" s="2"/>
    </row>
    <row r="52" spans="2:14" x14ac:dyDescent="0.2">
      <c r="C52" s="2"/>
    </row>
    <row r="54" spans="2:14" x14ac:dyDescent="0.2">
      <c r="B54" s="1" t="s">
        <v>5</v>
      </c>
    </row>
    <row r="55" spans="2:14" x14ac:dyDescent="0.2">
      <c r="B55" s="1" t="s">
        <v>6</v>
      </c>
    </row>
    <row r="59" spans="2:14" x14ac:dyDescent="0.2">
      <c r="B59" s="38" t="s">
        <v>7</v>
      </c>
      <c r="C59" s="38"/>
      <c r="D59" s="38"/>
      <c r="E59" s="38"/>
      <c r="F59" s="38"/>
      <c r="G59" s="39"/>
      <c r="H59" s="27"/>
      <c r="I59" s="27"/>
      <c r="J59" s="27"/>
      <c r="K59" s="27"/>
      <c r="L59" s="27"/>
      <c r="M59" s="27"/>
      <c r="N59" s="27"/>
    </row>
    <row r="60" spans="2:14" x14ac:dyDescent="0.2">
      <c r="B60" s="38" t="s">
        <v>11</v>
      </c>
      <c r="C60" s="38"/>
      <c r="D60" s="38"/>
      <c r="E60" s="38"/>
      <c r="F60" s="40" t="s">
        <v>156</v>
      </c>
      <c r="G60" s="39"/>
      <c r="H60" s="27"/>
      <c r="I60" s="27"/>
      <c r="J60" s="27"/>
      <c r="K60" s="27"/>
      <c r="L60" s="27"/>
      <c r="M60" s="27"/>
      <c r="N60" s="27"/>
    </row>
    <row r="61" spans="2:14" x14ac:dyDescent="0.2">
      <c r="B61" s="38"/>
      <c r="C61" s="38"/>
      <c r="D61" s="38"/>
      <c r="E61" s="38"/>
      <c r="F61" s="38"/>
      <c r="G61" s="39"/>
      <c r="H61" s="27"/>
      <c r="I61" s="27"/>
      <c r="J61" s="27"/>
      <c r="K61" s="27"/>
      <c r="L61" s="27"/>
      <c r="M61" s="27"/>
      <c r="N61" s="27"/>
    </row>
    <row r="62" spans="2:14" x14ac:dyDescent="0.2">
      <c r="B62" s="38"/>
      <c r="C62" s="38"/>
      <c r="D62" s="38"/>
      <c r="E62" s="38"/>
      <c r="F62" s="38"/>
      <c r="G62" s="39"/>
      <c r="H62" s="27"/>
      <c r="I62" s="27"/>
      <c r="J62" s="27"/>
      <c r="K62" s="27"/>
      <c r="L62" s="27"/>
      <c r="M62" s="27"/>
      <c r="N62" s="27"/>
    </row>
    <row r="63" spans="2:14" x14ac:dyDescent="0.2">
      <c r="B63" s="38"/>
      <c r="C63" s="38"/>
      <c r="D63" s="38"/>
      <c r="E63" s="38"/>
      <c r="F63" s="38"/>
      <c r="G63" s="39"/>
      <c r="H63" s="27"/>
      <c r="I63" s="27"/>
      <c r="J63" s="27"/>
      <c r="K63" s="27"/>
      <c r="L63" s="27"/>
      <c r="M63" s="27"/>
      <c r="N63" s="27"/>
    </row>
    <row r="64" spans="2:14" x14ac:dyDescent="0.2">
      <c r="B64" s="38"/>
      <c r="C64" s="38"/>
      <c r="D64" s="38"/>
      <c r="E64" s="38"/>
      <c r="F64" s="38"/>
      <c r="G64" s="39"/>
      <c r="H64" s="27"/>
      <c r="I64" s="27"/>
      <c r="J64" s="27"/>
      <c r="K64" s="27"/>
      <c r="L64" s="27"/>
      <c r="M64" s="27"/>
      <c r="N64" s="27"/>
    </row>
    <row r="65" spans="2:14" x14ac:dyDescent="0.2">
      <c r="B65" s="38"/>
      <c r="C65" s="38"/>
      <c r="D65" s="38"/>
      <c r="E65" s="38"/>
      <c r="F65" s="38"/>
      <c r="G65" s="39"/>
      <c r="H65" s="27"/>
      <c r="I65" s="27"/>
      <c r="J65" s="27"/>
      <c r="K65" s="27"/>
      <c r="L65" s="27"/>
      <c r="M65" s="27"/>
      <c r="N65" s="27"/>
    </row>
    <row r="66" spans="2:14" x14ac:dyDescent="0.2">
      <c r="B66" s="38"/>
      <c r="C66" s="38"/>
      <c r="D66" s="38"/>
      <c r="E66" s="38"/>
      <c r="F66" s="41"/>
      <c r="G66" s="41"/>
      <c r="H66" s="27"/>
      <c r="I66" s="27"/>
      <c r="J66" s="27"/>
      <c r="K66" s="27"/>
      <c r="L66" s="27"/>
      <c r="M66" s="27"/>
      <c r="N66" s="27"/>
    </row>
    <row r="67" spans="2:14" x14ac:dyDescent="0.2">
      <c r="B67" s="42" t="s">
        <v>157</v>
      </c>
      <c r="C67" s="42"/>
      <c r="D67" s="42"/>
      <c r="E67" s="42"/>
      <c r="F67" s="43" t="s">
        <v>12</v>
      </c>
      <c r="G67" s="39"/>
      <c r="H67" s="27"/>
      <c r="I67" s="27"/>
      <c r="J67" s="27"/>
      <c r="K67" s="37"/>
      <c r="L67" s="27"/>
      <c r="M67" s="27"/>
      <c r="N67" s="27"/>
    </row>
    <row r="68" spans="2:14" x14ac:dyDescent="0.2">
      <c r="B68" s="38" t="s">
        <v>13</v>
      </c>
      <c r="C68" s="38"/>
      <c r="D68" s="38"/>
      <c r="E68" s="38"/>
      <c r="F68" s="38" t="s">
        <v>160</v>
      </c>
      <c r="G68" s="38"/>
      <c r="H68" s="27"/>
      <c r="I68" s="27"/>
      <c r="J68" s="27"/>
      <c r="K68" s="37"/>
      <c r="L68" s="27"/>
      <c r="M68" s="27"/>
      <c r="N68" s="27"/>
    </row>
    <row r="69" spans="2:14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</sheetData>
  <mergeCells count="12">
    <mergeCell ref="C32:I32"/>
    <mergeCell ref="N41:O41"/>
    <mergeCell ref="C26:I26"/>
    <mergeCell ref="J24:K24"/>
    <mergeCell ref="N24:O24"/>
    <mergeCell ref="N26:O26"/>
    <mergeCell ref="C35:I35"/>
    <mergeCell ref="C30:I30"/>
    <mergeCell ref="C33:I33"/>
    <mergeCell ref="C29:I29"/>
    <mergeCell ref="C34:I34"/>
    <mergeCell ref="C31:I31"/>
  </mergeCells>
  <pageMargins left="0.51181102362204722" right="0.11811023622047245" top="0.39370078740157483" bottom="0.35433070866141736" header="0.31496062992125984" footer="0.31496062992125984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2"/>
  <sheetViews>
    <sheetView workbookViewId="0">
      <selection activeCell="A6" sqref="A6"/>
    </sheetView>
  </sheetViews>
  <sheetFormatPr defaultRowHeight="12.75" x14ac:dyDescent="0.2"/>
  <cols>
    <col min="1" max="1" width="11" style="1" customWidth="1"/>
    <col min="2" max="16384" width="9.140625" style="1"/>
  </cols>
  <sheetData>
    <row r="1" spans="1:13" ht="15.75" x14ac:dyDescent="0.25">
      <c r="A1" s="9">
        <f>Sheet1!N41</f>
        <v>62000000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75" x14ac:dyDescent="0.25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5.75" x14ac:dyDescent="0.25">
      <c r="A3" s="10"/>
      <c r="B3" s="10"/>
      <c r="C3" s="10"/>
      <c r="D3" s="10"/>
      <c r="E3" s="10"/>
      <c r="F3" s="10"/>
      <c r="G3" s="10"/>
      <c r="H3" s="10"/>
      <c r="I3" s="10"/>
      <c r="J3" s="12">
        <v>0</v>
      </c>
      <c r="K3" s="13" t="s">
        <v>17</v>
      </c>
      <c r="L3" s="10" t="s">
        <v>18</v>
      </c>
      <c r="M3" s="10"/>
    </row>
    <row r="4" spans="1:13" ht="15.75" x14ac:dyDescent="0.25">
      <c r="A4" s="14"/>
      <c r="B4" s="10"/>
      <c r="C4" s="10"/>
      <c r="D4" s="10"/>
      <c r="E4" s="10"/>
      <c r="F4" s="10"/>
      <c r="G4" s="10"/>
      <c r="H4" s="10"/>
      <c r="I4" s="10"/>
      <c r="J4" s="12">
        <v>1</v>
      </c>
      <c r="K4" s="13" t="s">
        <v>19</v>
      </c>
      <c r="L4" s="10" t="s">
        <v>20</v>
      </c>
      <c r="M4" s="10"/>
    </row>
    <row r="5" spans="1:13" ht="15.75" x14ac:dyDescent="0.25">
      <c r="A5" s="73" t="str">
        <f>TRIM(D13&amp;E13&amp;D14&amp;E14&amp;D15&amp;E15&amp;D16&amp;E16&amp;D17&amp;E17&amp;D18&amp;E18&amp;E19&amp;D19&amp;" IDR Only #")</f>
        <v>Sixty Two Millions IDR Only #</v>
      </c>
      <c r="B5" s="73"/>
      <c r="C5" s="73"/>
      <c r="D5" s="73"/>
      <c r="E5" s="15"/>
      <c r="F5" s="16"/>
      <c r="G5" s="10"/>
      <c r="H5" s="10"/>
      <c r="I5" s="10"/>
      <c r="J5" s="12">
        <v>2</v>
      </c>
      <c r="K5" s="13" t="s">
        <v>21</v>
      </c>
      <c r="L5" s="10" t="s">
        <v>22</v>
      </c>
      <c r="M5" s="10"/>
    </row>
    <row r="6" spans="1:13" ht="15.75" x14ac:dyDescent="0.25">
      <c r="A6" s="17"/>
      <c r="B6" s="17"/>
      <c r="C6" s="17"/>
      <c r="D6" s="17"/>
      <c r="E6" s="15"/>
      <c r="F6" s="16"/>
      <c r="G6" s="10"/>
      <c r="H6" s="10"/>
      <c r="I6" s="10"/>
      <c r="J6" s="12">
        <v>3</v>
      </c>
      <c r="K6" s="13" t="s">
        <v>23</v>
      </c>
      <c r="L6" s="10" t="s">
        <v>24</v>
      </c>
      <c r="M6" s="10"/>
    </row>
    <row r="7" spans="1:13" ht="15.75" x14ac:dyDescent="0.25">
      <c r="A7" s="17"/>
      <c r="B7" s="17"/>
      <c r="C7" s="17"/>
      <c r="D7" s="17"/>
      <c r="E7" s="10"/>
      <c r="F7" s="10"/>
      <c r="G7" s="10"/>
      <c r="H7" s="10"/>
      <c r="I7" s="10"/>
      <c r="J7" s="12">
        <v>4</v>
      </c>
      <c r="K7" s="13" t="s">
        <v>25</v>
      </c>
      <c r="L7" s="10" t="s">
        <v>26</v>
      </c>
      <c r="M7" s="10"/>
    </row>
    <row r="8" spans="1:13" ht="15.75" x14ac:dyDescent="0.25">
      <c r="A8" s="73" t="str">
        <f>TRIM(D23&amp;E23&amp;D24&amp;E24&amp;D25&amp;E25&amp;D26&amp;E26&amp;D27&amp;E27&amp;D28&amp;E28&amp;D29&amp;E29&amp;" SGD")</f>
        <v>Enam Puluh Dua Juta SGD</v>
      </c>
      <c r="B8" s="73"/>
      <c r="C8" s="73"/>
      <c r="D8" s="73"/>
      <c r="E8" s="15"/>
      <c r="F8" s="16"/>
      <c r="G8" s="10"/>
      <c r="H8" s="10"/>
      <c r="I8" s="10"/>
      <c r="J8" s="12">
        <v>5</v>
      </c>
      <c r="K8" s="13" t="s">
        <v>27</v>
      </c>
      <c r="L8" s="10" t="s">
        <v>28</v>
      </c>
      <c r="M8" s="10"/>
    </row>
    <row r="9" spans="1:13" ht="15.75" x14ac:dyDescent="0.25">
      <c r="A9" s="15"/>
      <c r="B9" s="15"/>
      <c r="C9" s="15"/>
      <c r="D9" s="15"/>
      <c r="E9" s="15"/>
      <c r="F9" s="16"/>
      <c r="G9" s="10"/>
      <c r="H9" s="10"/>
      <c r="I9" s="10"/>
      <c r="J9" s="12">
        <v>6</v>
      </c>
      <c r="K9" s="13" t="s">
        <v>29</v>
      </c>
      <c r="L9" s="10" t="s">
        <v>30</v>
      </c>
      <c r="M9" s="10"/>
    </row>
    <row r="10" spans="1:13" ht="15.75" x14ac:dyDescent="0.25">
      <c r="A10" s="18"/>
      <c r="B10" s="18"/>
      <c r="C10" s="18"/>
      <c r="D10" s="18"/>
      <c r="E10" s="10"/>
      <c r="F10" s="10"/>
      <c r="G10" s="10"/>
      <c r="H10" s="10"/>
      <c r="I10" s="10"/>
      <c r="J10" s="12">
        <v>7</v>
      </c>
      <c r="K10" s="13" t="s">
        <v>31</v>
      </c>
      <c r="L10" s="10" t="s">
        <v>32</v>
      </c>
      <c r="M10" s="10"/>
    </row>
    <row r="11" spans="1:13" ht="15.7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2">
        <v>8</v>
      </c>
      <c r="K11" s="13" t="s">
        <v>33</v>
      </c>
      <c r="L11" s="10" t="s">
        <v>34</v>
      </c>
      <c r="M11" s="10"/>
    </row>
    <row r="12" spans="1:13" ht="15.75" x14ac:dyDescent="0.25">
      <c r="A12" s="19" t="s">
        <v>35</v>
      </c>
      <c r="B12" s="10"/>
      <c r="C12" s="10"/>
      <c r="D12" s="10"/>
      <c r="E12" s="10"/>
      <c r="F12" s="10"/>
      <c r="G12" s="10"/>
      <c r="H12" s="10"/>
      <c r="I12" s="10"/>
      <c r="J12" s="12">
        <v>9</v>
      </c>
      <c r="K12" s="13" t="s">
        <v>36</v>
      </c>
      <c r="L12" s="10" t="s">
        <v>37</v>
      </c>
      <c r="M12" s="10"/>
    </row>
    <row r="13" spans="1:13" ht="15.75" x14ac:dyDescent="0.25">
      <c r="A13" s="10" t="s">
        <v>38</v>
      </c>
      <c r="B13" s="20">
        <f>TRUNC(A1/100000000)</f>
        <v>0</v>
      </c>
      <c r="C13" s="10">
        <f>B13*100000000</f>
        <v>0</v>
      </c>
      <c r="D13" s="10" t="str">
        <f t="shared" ref="D13:D19" si="0">IF(B13&lt;1,"",VLOOKUP(B13,$J$3:$K$102,2))</f>
        <v/>
      </c>
      <c r="E13" s="12" t="str">
        <f>IF(B13&lt;1,"",IF(B13&gt;1," Hundreds "," Hundred "))</f>
        <v/>
      </c>
      <c r="F13" s="10"/>
      <c r="G13" s="10"/>
      <c r="H13" s="10"/>
      <c r="I13" s="10"/>
      <c r="J13" s="12">
        <v>10</v>
      </c>
      <c r="K13" s="13" t="s">
        <v>39</v>
      </c>
      <c r="L13" s="10" t="s">
        <v>40</v>
      </c>
      <c r="M13" s="10"/>
    </row>
    <row r="14" spans="1:13" ht="15.75" x14ac:dyDescent="0.25">
      <c r="A14" s="10" t="s">
        <v>41</v>
      </c>
      <c r="B14" s="20">
        <f>TRUNC((A1-C13)/1000000)</f>
        <v>62</v>
      </c>
      <c r="C14" s="10">
        <f>B14*1000000</f>
        <v>62000000</v>
      </c>
      <c r="D14" s="10" t="str">
        <f t="shared" si="0"/>
        <v>Sixty Two</v>
      </c>
      <c r="E14" s="10" t="str">
        <f>IF(B13+B14=0,"",IF(B14=1," Million "," Millions "))</f>
        <v xml:space="preserve"> Millions </v>
      </c>
      <c r="F14" s="10"/>
      <c r="G14" s="10"/>
      <c r="H14" s="10"/>
      <c r="I14" s="10"/>
      <c r="J14" s="12">
        <v>11</v>
      </c>
      <c r="K14" s="13" t="s">
        <v>42</v>
      </c>
      <c r="L14" s="10" t="s">
        <v>43</v>
      </c>
      <c r="M14" s="10"/>
    </row>
    <row r="15" spans="1:13" ht="15.75" x14ac:dyDescent="0.25">
      <c r="A15" s="10" t="s">
        <v>44</v>
      </c>
      <c r="B15" s="20">
        <f>TRUNC((A1-SUM(C13:C14))/100000)</f>
        <v>0</v>
      </c>
      <c r="C15" s="10">
        <f>B15*100000</f>
        <v>0</v>
      </c>
      <c r="D15" s="10" t="str">
        <f t="shared" si="0"/>
        <v/>
      </c>
      <c r="E15" s="12" t="str">
        <f>IF(B15&lt;1,"",IF(B15&gt;1," Hundreds "," Hundred "))</f>
        <v/>
      </c>
      <c r="F15" s="10"/>
      <c r="G15" s="10"/>
      <c r="H15" s="10"/>
      <c r="I15" s="10"/>
      <c r="J15" s="12">
        <v>12</v>
      </c>
      <c r="K15" s="13" t="s">
        <v>45</v>
      </c>
      <c r="L15" s="10" t="str">
        <f t="shared" ref="L15:L22" si="1">L5&amp;" Belas"</f>
        <v>Dua Belas</v>
      </c>
      <c r="M15" s="10"/>
    </row>
    <row r="16" spans="1:13" ht="15.75" x14ac:dyDescent="0.25">
      <c r="A16" s="13" t="s">
        <v>46</v>
      </c>
      <c r="B16" s="21">
        <f>TRUNC((A1-SUM(C13:C15))/1000)</f>
        <v>0</v>
      </c>
      <c r="C16" s="12">
        <f>B16*1000</f>
        <v>0</v>
      </c>
      <c r="D16" s="10" t="str">
        <f t="shared" si="0"/>
        <v/>
      </c>
      <c r="E16" s="12" t="str">
        <f>IF(B15+B16=0,"",IF(B16=1," Thousand "," Thousands "))</f>
        <v/>
      </c>
      <c r="F16" s="10"/>
      <c r="G16" s="10"/>
      <c r="H16" s="10"/>
      <c r="I16" s="10"/>
      <c r="J16" s="12">
        <v>13</v>
      </c>
      <c r="K16" s="13" t="s">
        <v>47</v>
      </c>
      <c r="L16" s="10" t="str">
        <f t="shared" si="1"/>
        <v>Tiga Belas</v>
      </c>
      <c r="M16" s="10"/>
    </row>
    <row r="17" spans="1:13" ht="15.75" x14ac:dyDescent="0.25">
      <c r="A17" s="13" t="s">
        <v>48</v>
      </c>
      <c r="B17" s="21">
        <f>TRUNC((A1-SUM(C13:C16))/100)</f>
        <v>0</v>
      </c>
      <c r="C17" s="12">
        <f>B17*100</f>
        <v>0</v>
      </c>
      <c r="D17" s="10" t="str">
        <f t="shared" si="0"/>
        <v/>
      </c>
      <c r="E17" s="12" t="str">
        <f>IF(B17&lt;1,"",IF(B17&gt;1," Hundreds "," Hundred "))</f>
        <v/>
      </c>
      <c r="F17" s="10"/>
      <c r="G17" s="10"/>
      <c r="H17" s="10"/>
      <c r="I17" s="10"/>
      <c r="J17" s="12">
        <v>14</v>
      </c>
      <c r="K17" s="13" t="s">
        <v>49</v>
      </c>
      <c r="L17" s="10" t="str">
        <f t="shared" si="1"/>
        <v>Empat Belas</v>
      </c>
      <c r="M17" s="10"/>
    </row>
    <row r="18" spans="1:13" ht="15.75" x14ac:dyDescent="0.25">
      <c r="A18" s="13" t="s">
        <v>50</v>
      </c>
      <c r="B18" s="22">
        <f>TRUNC((A1-SUM(C13:C17)))</f>
        <v>0</v>
      </c>
      <c r="C18" s="23">
        <f>B18</f>
        <v>0</v>
      </c>
      <c r="D18" s="10" t="str">
        <f t="shared" si="0"/>
        <v/>
      </c>
      <c r="E18" s="10" t="str">
        <f>IF(SUM(C13:C18)&lt;1,"",IF(B19&lt;1,""," And "))</f>
        <v/>
      </c>
      <c r="F18" s="10"/>
      <c r="G18" s="10"/>
      <c r="H18" s="10"/>
      <c r="I18" s="10"/>
      <c r="J18" s="12">
        <v>15</v>
      </c>
      <c r="K18" s="13" t="s">
        <v>51</v>
      </c>
      <c r="L18" s="10" t="str">
        <f t="shared" si="1"/>
        <v>Lima Belas</v>
      </c>
      <c r="M18" s="10"/>
    </row>
    <row r="19" spans="1:13" ht="15.75" x14ac:dyDescent="0.25">
      <c r="A19" s="13" t="s">
        <v>52</v>
      </c>
      <c r="B19" s="21">
        <f>ROUND(A1-SUM(C13:C18),2)*100</f>
        <v>0</v>
      </c>
      <c r="C19" s="12"/>
      <c r="D19" s="24" t="str">
        <f t="shared" si="0"/>
        <v/>
      </c>
      <c r="E19" s="12" t="str">
        <f>IF(B19&lt;1,"",IF(B19=1," Cent "," Cents "))</f>
        <v/>
      </c>
      <c r="F19" s="10"/>
      <c r="G19" s="10"/>
      <c r="H19" s="10"/>
      <c r="I19" s="10"/>
      <c r="J19" s="12">
        <v>16</v>
      </c>
      <c r="K19" s="13" t="s">
        <v>53</v>
      </c>
      <c r="L19" s="10" t="str">
        <f t="shared" si="1"/>
        <v>Enam Belas</v>
      </c>
      <c r="M19" s="10"/>
    </row>
    <row r="20" spans="1:13" ht="15.75" x14ac:dyDescent="0.25">
      <c r="A20" s="10"/>
      <c r="B20" s="10"/>
      <c r="C20" s="10"/>
      <c r="D20" s="10"/>
      <c r="E20" s="12"/>
      <c r="F20" s="10"/>
      <c r="G20" s="10"/>
      <c r="H20" s="10"/>
      <c r="I20" s="10"/>
      <c r="J20" s="12">
        <v>17</v>
      </c>
      <c r="K20" s="13" t="s">
        <v>54</v>
      </c>
      <c r="L20" s="10" t="str">
        <f t="shared" si="1"/>
        <v>Tujuh Belas</v>
      </c>
      <c r="M20" s="10"/>
    </row>
    <row r="21" spans="1:13" ht="15.75" x14ac:dyDescent="0.25">
      <c r="A21" s="25"/>
      <c r="B21" s="10"/>
      <c r="C21" s="10"/>
      <c r="D21" s="10"/>
      <c r="E21" s="10"/>
      <c r="F21" s="10"/>
      <c r="G21" s="10"/>
      <c r="H21" s="10"/>
      <c r="I21" s="10"/>
      <c r="J21" s="12">
        <v>18</v>
      </c>
      <c r="K21" s="13" t="s">
        <v>55</v>
      </c>
      <c r="L21" s="10" t="str">
        <f t="shared" si="1"/>
        <v>Delapan Belas</v>
      </c>
      <c r="M21" s="10"/>
    </row>
    <row r="22" spans="1:13" ht="15.75" x14ac:dyDescent="0.25">
      <c r="A22" s="19" t="s">
        <v>56</v>
      </c>
      <c r="B22" s="10"/>
      <c r="C22" s="10"/>
      <c r="D22" s="10"/>
      <c r="E22" s="10"/>
      <c r="F22" s="10"/>
      <c r="G22" s="10"/>
      <c r="H22" s="10"/>
      <c r="I22" s="10"/>
      <c r="J22" s="12">
        <v>19</v>
      </c>
      <c r="K22" s="13" t="s">
        <v>57</v>
      </c>
      <c r="L22" s="10" t="str">
        <f t="shared" si="1"/>
        <v>Sembilan Belas</v>
      </c>
      <c r="M22" s="10"/>
    </row>
    <row r="23" spans="1:13" ht="15.75" x14ac:dyDescent="0.25">
      <c r="A23" s="10" t="s">
        <v>38</v>
      </c>
      <c r="B23" s="20">
        <f>TRUNC(A1/100000000)</f>
        <v>0</v>
      </c>
      <c r="C23" s="10">
        <f>B23*100000000</f>
        <v>0</v>
      </c>
      <c r="D23" s="10" t="str">
        <f>IF(B23&lt;1,"",IF(B23=1,"",VLOOKUP(B23,$J$3:$L$102,3)))</f>
        <v/>
      </c>
      <c r="E23" s="12" t="str">
        <f>IF(B23&lt;1,"",IF(B23=1,"Seratus "," Ratus "))</f>
        <v/>
      </c>
      <c r="F23" s="10"/>
      <c r="G23" s="10"/>
      <c r="H23" s="10"/>
      <c r="I23" s="10"/>
      <c r="J23" s="12">
        <v>20</v>
      </c>
      <c r="K23" s="13" t="s">
        <v>58</v>
      </c>
      <c r="L23" s="10" t="s">
        <v>59</v>
      </c>
      <c r="M23" s="10"/>
    </row>
    <row r="24" spans="1:13" ht="15.75" x14ac:dyDescent="0.25">
      <c r="A24" s="10" t="s">
        <v>41</v>
      </c>
      <c r="B24" s="20">
        <f>TRUNC((A1-C23)/1000000)</f>
        <v>62</v>
      </c>
      <c r="C24" s="10">
        <f>B24*1000000</f>
        <v>62000000</v>
      </c>
      <c r="D24" s="10" t="str">
        <f>IF(B24&lt;1,"",VLOOKUP(B24,$J$3:$L$102,3))</f>
        <v>Enam Puluh Dua</v>
      </c>
      <c r="E24" s="10" t="str">
        <f>IF(B23+B24=0,""," Juta ")</f>
        <v xml:space="preserve"> Juta </v>
      </c>
      <c r="F24" s="10"/>
      <c r="G24" s="10"/>
      <c r="H24" s="10"/>
      <c r="I24" s="10"/>
      <c r="J24" s="12">
        <v>21</v>
      </c>
      <c r="K24" s="13" t="s">
        <v>60</v>
      </c>
      <c r="L24" s="10" t="str">
        <f t="shared" ref="L24:L32" si="2">$L$23&amp;" "&amp;L4</f>
        <v>Dua Puluh Satu</v>
      </c>
      <c r="M24" s="10"/>
    </row>
    <row r="25" spans="1:13" ht="15.75" x14ac:dyDescent="0.25">
      <c r="A25" s="10" t="s">
        <v>44</v>
      </c>
      <c r="B25" s="20">
        <f>TRUNC((A1-SUM(C23:C24))/100000)</f>
        <v>0</v>
      </c>
      <c r="C25" s="10">
        <f>B25*100000</f>
        <v>0</v>
      </c>
      <c r="D25" s="10" t="str">
        <f>IF(B25&lt;1,"",IF(B25=1,"",VLOOKUP(B25,$J$3:$L$102,3)))</f>
        <v/>
      </c>
      <c r="E25" s="12" t="str">
        <f>IF(B25&lt;1,"",IF(B25=1," Seratus "," Ratus "))</f>
        <v/>
      </c>
      <c r="F25" s="10"/>
      <c r="G25" s="10"/>
      <c r="H25" s="10"/>
      <c r="I25" s="10"/>
      <c r="J25" s="12">
        <v>22</v>
      </c>
      <c r="K25" s="13" t="s">
        <v>61</v>
      </c>
      <c r="L25" s="10" t="str">
        <f t="shared" si="2"/>
        <v>Dua Puluh Dua</v>
      </c>
      <c r="M25" s="10"/>
    </row>
    <row r="26" spans="1:13" ht="15.75" x14ac:dyDescent="0.25">
      <c r="A26" s="13" t="s">
        <v>46</v>
      </c>
      <c r="B26" s="21">
        <f>TRUNC((A1-SUM(C23:C25))/1000)</f>
        <v>0</v>
      </c>
      <c r="C26" s="12">
        <f>B26*1000</f>
        <v>0</v>
      </c>
      <c r="D26" s="10" t="str">
        <f>IF(B26&lt;1,"",IF(B26=1,"",VLOOKUP(B26,$J$3:$L$102,3)))</f>
        <v/>
      </c>
      <c r="E26" s="12" t="str">
        <f>IF(B25+B26&lt;1,"",IF(B26=1," Seribu "," Ribu "))</f>
        <v/>
      </c>
      <c r="F26" s="10"/>
      <c r="G26" s="10"/>
      <c r="H26" s="10"/>
      <c r="I26" s="10"/>
      <c r="J26" s="12">
        <v>23</v>
      </c>
      <c r="K26" s="13" t="s">
        <v>62</v>
      </c>
      <c r="L26" s="10" t="str">
        <f t="shared" si="2"/>
        <v>Dua Puluh Tiga</v>
      </c>
      <c r="M26" s="10"/>
    </row>
    <row r="27" spans="1:13" ht="15.75" x14ac:dyDescent="0.25">
      <c r="A27" s="13" t="s">
        <v>48</v>
      </c>
      <c r="B27" s="21">
        <f>TRUNC((A1-SUM(C23:C26))/100)</f>
        <v>0</v>
      </c>
      <c r="C27" s="12">
        <f>B27*100</f>
        <v>0</v>
      </c>
      <c r="D27" s="10" t="str">
        <f>IF(B27&lt;1,"",IF(B27=1,"",VLOOKUP(B27,$J$3:$L$102,3)))</f>
        <v/>
      </c>
      <c r="E27" s="12" t="str">
        <f>IF(B27&lt;1,"",IF(B27=1," Seratus "," Ratus "))</f>
        <v/>
      </c>
      <c r="F27" s="10"/>
      <c r="G27" s="10"/>
      <c r="H27" s="10"/>
      <c r="I27" s="10"/>
      <c r="J27" s="12">
        <v>24</v>
      </c>
      <c r="K27" s="13" t="s">
        <v>63</v>
      </c>
      <c r="L27" s="10" t="str">
        <f t="shared" si="2"/>
        <v>Dua Puluh Empat</v>
      </c>
      <c r="M27" s="10"/>
    </row>
    <row r="28" spans="1:13" ht="15.75" x14ac:dyDescent="0.25">
      <c r="A28" s="13" t="s">
        <v>50</v>
      </c>
      <c r="B28" s="22">
        <f>TRUNC((A1-SUM(C23:C27)))</f>
        <v>0</v>
      </c>
      <c r="C28" s="23">
        <f>B28</f>
        <v>0</v>
      </c>
      <c r="D28" s="10" t="str">
        <f>IF(B28&lt;1,"",VLOOKUP(B28,$J$3:$L$102,3))</f>
        <v/>
      </c>
      <c r="E28" s="10" t="str">
        <f>IF(SUM(C23:C28)&lt;1,"",IF(B29&lt;1,""," Dan "))</f>
        <v/>
      </c>
      <c r="F28" s="10"/>
      <c r="G28" s="10"/>
      <c r="H28" s="10"/>
      <c r="I28" s="10"/>
      <c r="J28" s="12">
        <v>25</v>
      </c>
      <c r="K28" s="13" t="s">
        <v>64</v>
      </c>
      <c r="L28" s="10" t="str">
        <f t="shared" si="2"/>
        <v>Dua Puluh Lima</v>
      </c>
      <c r="M28" s="10"/>
    </row>
    <row r="29" spans="1:13" ht="15.75" x14ac:dyDescent="0.25">
      <c r="A29" s="13" t="s">
        <v>52</v>
      </c>
      <c r="B29" s="21">
        <f>ROUND(A1-SUM(C23:C28),2)*100</f>
        <v>0</v>
      </c>
      <c r="C29" s="12"/>
      <c r="D29" s="10" t="str">
        <f>IF(B29&lt;1,"",VLOOKUP(B29,$J$3:$L$102,3))</f>
        <v/>
      </c>
      <c r="E29" s="12" t="str">
        <f>IF(B29&lt;1,""," Sen ")</f>
        <v/>
      </c>
      <c r="F29" s="10"/>
      <c r="G29" s="10"/>
      <c r="H29" s="10"/>
      <c r="I29" s="10"/>
      <c r="J29" s="12">
        <v>26</v>
      </c>
      <c r="K29" s="13" t="s">
        <v>65</v>
      </c>
      <c r="L29" s="10" t="str">
        <f t="shared" si="2"/>
        <v>Dua Puluh Enam</v>
      </c>
      <c r="M29" s="10"/>
    </row>
    <row r="30" spans="1:13" ht="15.75" x14ac:dyDescent="0.25">
      <c r="A30" s="10"/>
      <c r="B30" s="10"/>
      <c r="C30" s="10"/>
      <c r="D30" s="10"/>
      <c r="E30" s="12"/>
      <c r="F30" s="10"/>
      <c r="G30" s="10"/>
      <c r="H30" s="10"/>
      <c r="I30" s="10"/>
      <c r="J30" s="12">
        <v>27</v>
      </c>
      <c r="K30" s="13" t="s">
        <v>66</v>
      </c>
      <c r="L30" s="10" t="str">
        <f t="shared" si="2"/>
        <v>Dua Puluh Tujuh</v>
      </c>
      <c r="M30" s="10"/>
    </row>
    <row r="31" spans="1:13" ht="15.7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2">
        <v>28</v>
      </c>
      <c r="K31" s="13" t="s">
        <v>67</v>
      </c>
      <c r="L31" s="10" t="str">
        <f t="shared" si="2"/>
        <v>Dua Puluh Delapan</v>
      </c>
      <c r="M31" s="10"/>
    </row>
    <row r="32" spans="1:13" ht="15.7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2">
        <v>29</v>
      </c>
      <c r="K32" s="13" t="s">
        <v>68</v>
      </c>
      <c r="L32" s="10" t="str">
        <f t="shared" si="2"/>
        <v>Dua Puluh Sembilan</v>
      </c>
      <c r="M32" s="10"/>
    </row>
    <row r="33" spans="1:13" ht="15.7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2">
        <v>30</v>
      </c>
      <c r="K33" s="13" t="s">
        <v>69</v>
      </c>
      <c r="L33" s="10" t="s">
        <v>70</v>
      </c>
      <c r="M33" s="10"/>
    </row>
    <row r="34" spans="1:13" ht="15.7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2">
        <v>31</v>
      </c>
      <c r="K34" s="13" t="s">
        <v>71</v>
      </c>
      <c r="L34" s="10" t="str">
        <f t="shared" ref="L34:L42" si="3">$L$33&amp;" "&amp;L4</f>
        <v>Tiga Puluh Satu</v>
      </c>
      <c r="M34" s="10"/>
    </row>
    <row r="35" spans="1:13" ht="15.7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2">
        <v>32</v>
      </c>
      <c r="K35" s="13" t="s">
        <v>72</v>
      </c>
      <c r="L35" s="10" t="str">
        <f t="shared" si="3"/>
        <v>Tiga Puluh Dua</v>
      </c>
      <c r="M35" s="10"/>
    </row>
    <row r="36" spans="1:13" ht="15.7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2">
        <v>33</v>
      </c>
      <c r="K36" s="13" t="s">
        <v>73</v>
      </c>
      <c r="L36" s="10" t="str">
        <f t="shared" si="3"/>
        <v>Tiga Puluh Tiga</v>
      </c>
      <c r="M36" s="10"/>
    </row>
    <row r="37" spans="1:13" ht="15.7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2">
        <v>34</v>
      </c>
      <c r="K37" s="13" t="s">
        <v>74</v>
      </c>
      <c r="L37" s="10" t="str">
        <f t="shared" si="3"/>
        <v>Tiga Puluh Empat</v>
      </c>
      <c r="M37" s="10"/>
    </row>
    <row r="38" spans="1:13" ht="15.7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2">
        <v>35</v>
      </c>
      <c r="K38" s="13" t="s">
        <v>75</v>
      </c>
      <c r="L38" s="10" t="str">
        <f t="shared" si="3"/>
        <v>Tiga Puluh Lima</v>
      </c>
      <c r="M38" s="10"/>
    </row>
    <row r="39" spans="1:13" ht="15.7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2">
        <v>36</v>
      </c>
      <c r="K39" s="13" t="s">
        <v>76</v>
      </c>
      <c r="L39" s="10" t="str">
        <f t="shared" si="3"/>
        <v>Tiga Puluh Enam</v>
      </c>
      <c r="M39" s="10"/>
    </row>
    <row r="40" spans="1:13" ht="15.7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2">
        <v>37</v>
      </c>
      <c r="K40" s="13" t="s">
        <v>77</v>
      </c>
      <c r="L40" s="10" t="str">
        <f t="shared" si="3"/>
        <v>Tiga Puluh Tujuh</v>
      </c>
      <c r="M40" s="10"/>
    </row>
    <row r="41" spans="1:13" ht="15.7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2">
        <v>38</v>
      </c>
      <c r="K41" s="13" t="s">
        <v>78</v>
      </c>
      <c r="L41" s="10" t="str">
        <f t="shared" si="3"/>
        <v>Tiga Puluh Delapan</v>
      </c>
      <c r="M41" s="10"/>
    </row>
    <row r="42" spans="1:13" ht="15.7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2">
        <v>39</v>
      </c>
      <c r="K42" s="13" t="s">
        <v>79</v>
      </c>
      <c r="L42" s="10" t="str">
        <f t="shared" si="3"/>
        <v>Tiga Puluh Sembilan</v>
      </c>
      <c r="M42" s="10"/>
    </row>
    <row r="43" spans="1:13" ht="15.75" x14ac:dyDescent="0.25">
      <c r="A43" s="10"/>
      <c r="B43" s="15"/>
      <c r="C43" s="15"/>
      <c r="D43" s="15"/>
      <c r="E43" s="10"/>
      <c r="F43" s="10"/>
      <c r="G43" s="10"/>
      <c r="H43" s="10"/>
      <c r="I43" s="10"/>
      <c r="J43" s="12">
        <v>40</v>
      </c>
      <c r="K43" s="13" t="s">
        <v>80</v>
      </c>
      <c r="L43" s="10" t="s">
        <v>81</v>
      </c>
      <c r="M43" s="10"/>
    </row>
    <row r="44" spans="1:13" ht="15.75" x14ac:dyDescent="0.25">
      <c r="A44" s="15"/>
      <c r="B44" s="15"/>
      <c r="C44" s="15"/>
      <c r="D44" s="15"/>
      <c r="E44" s="10"/>
      <c r="F44" s="10"/>
      <c r="G44" s="10"/>
      <c r="H44" s="10"/>
      <c r="I44" s="10"/>
      <c r="J44" s="12">
        <v>41</v>
      </c>
      <c r="K44" s="13" t="s">
        <v>82</v>
      </c>
      <c r="L44" s="10" t="str">
        <f t="shared" ref="L44:L52" si="4">$L$43&amp;" "&amp;L4</f>
        <v>Empat Puluh Satu</v>
      </c>
      <c r="M44" s="10"/>
    </row>
    <row r="45" spans="1:13" ht="15.7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2">
        <v>42</v>
      </c>
      <c r="K45" s="13" t="s">
        <v>83</v>
      </c>
      <c r="L45" s="10" t="str">
        <f t="shared" si="4"/>
        <v>Empat Puluh Dua</v>
      </c>
      <c r="M45" s="10"/>
    </row>
    <row r="46" spans="1:13" ht="15.75" x14ac:dyDescent="0.25">
      <c r="A46" s="19"/>
      <c r="B46" s="10"/>
      <c r="C46" s="10"/>
      <c r="D46" s="10"/>
      <c r="E46" s="10"/>
      <c r="F46" s="10"/>
      <c r="G46" s="10"/>
      <c r="H46" s="10"/>
      <c r="I46" s="10"/>
      <c r="J46" s="12">
        <v>43</v>
      </c>
      <c r="K46" s="13" t="s">
        <v>84</v>
      </c>
      <c r="L46" s="10" t="str">
        <f t="shared" si="4"/>
        <v>Empat Puluh Tiga</v>
      </c>
      <c r="M46" s="10"/>
    </row>
    <row r="47" spans="1:13" ht="15.7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2">
        <v>44</v>
      </c>
      <c r="K47" s="13" t="s">
        <v>85</v>
      </c>
      <c r="L47" s="10" t="str">
        <f t="shared" si="4"/>
        <v>Empat Puluh Empat</v>
      </c>
      <c r="M47" s="10"/>
    </row>
    <row r="48" spans="1:13" ht="15.7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2">
        <v>45</v>
      </c>
      <c r="K48" s="13" t="s">
        <v>86</v>
      </c>
      <c r="L48" s="10" t="str">
        <f t="shared" si="4"/>
        <v>Empat Puluh Lima</v>
      </c>
      <c r="M48" s="10"/>
    </row>
    <row r="49" spans="1:13" ht="15.7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2">
        <v>46</v>
      </c>
      <c r="K49" s="13" t="s">
        <v>87</v>
      </c>
      <c r="L49" s="10" t="str">
        <f t="shared" si="4"/>
        <v>Empat Puluh Enam</v>
      </c>
      <c r="M49" s="10"/>
    </row>
    <row r="50" spans="1:13" ht="15.7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2">
        <v>47</v>
      </c>
      <c r="K50" s="13" t="s">
        <v>88</v>
      </c>
      <c r="L50" s="10" t="str">
        <f t="shared" si="4"/>
        <v>Empat Puluh Tujuh</v>
      </c>
      <c r="M50" s="10"/>
    </row>
    <row r="51" spans="1:13" ht="15.7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2">
        <v>48</v>
      </c>
      <c r="K51" s="13" t="s">
        <v>89</v>
      </c>
      <c r="L51" s="10" t="str">
        <f t="shared" si="4"/>
        <v>Empat Puluh Delapan</v>
      </c>
      <c r="M51" s="10"/>
    </row>
    <row r="52" spans="1:13" ht="15.7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2">
        <v>49</v>
      </c>
      <c r="K52" s="13" t="s">
        <v>90</v>
      </c>
      <c r="L52" s="10" t="str">
        <f t="shared" si="4"/>
        <v>Empat Puluh Sembilan</v>
      </c>
      <c r="M52" s="10"/>
    </row>
    <row r="53" spans="1:13" ht="15.7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2">
        <v>50</v>
      </c>
      <c r="K53" s="13" t="s">
        <v>91</v>
      </c>
      <c r="L53" s="10" t="s">
        <v>92</v>
      </c>
      <c r="M53" s="10"/>
    </row>
    <row r="54" spans="1:13" ht="15.7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2">
        <v>51</v>
      </c>
      <c r="K54" s="13" t="s">
        <v>93</v>
      </c>
      <c r="L54" s="10" t="str">
        <f t="shared" ref="L54:L62" si="5">$L$53&amp;" "&amp;L4</f>
        <v>Lima Puluh Satu</v>
      </c>
      <c r="M54" s="10"/>
    </row>
    <row r="55" spans="1:13" ht="15.7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2">
        <v>52</v>
      </c>
      <c r="K55" s="13" t="s">
        <v>94</v>
      </c>
      <c r="L55" s="10" t="str">
        <f t="shared" si="5"/>
        <v>Lima Puluh Dua</v>
      </c>
      <c r="M55" s="10"/>
    </row>
    <row r="56" spans="1:13" ht="15.7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2">
        <v>53</v>
      </c>
      <c r="K56" s="13" t="s">
        <v>95</v>
      </c>
      <c r="L56" s="10" t="str">
        <f t="shared" si="5"/>
        <v>Lima Puluh Tiga</v>
      </c>
      <c r="M56" s="10"/>
    </row>
    <row r="57" spans="1:13" ht="15.7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2">
        <v>54</v>
      </c>
      <c r="K57" s="13" t="s">
        <v>96</v>
      </c>
      <c r="L57" s="10" t="str">
        <f t="shared" si="5"/>
        <v>Lima Puluh Empat</v>
      </c>
      <c r="M57" s="10"/>
    </row>
    <row r="58" spans="1:13" ht="15.7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2">
        <v>55</v>
      </c>
      <c r="K58" s="13" t="s">
        <v>97</v>
      </c>
      <c r="L58" s="10" t="str">
        <f t="shared" si="5"/>
        <v>Lima Puluh Lima</v>
      </c>
      <c r="M58" s="10"/>
    </row>
    <row r="59" spans="1:13" ht="15.7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2">
        <v>56</v>
      </c>
      <c r="K59" s="13" t="s">
        <v>98</v>
      </c>
      <c r="L59" s="10" t="str">
        <f t="shared" si="5"/>
        <v>Lima Puluh Enam</v>
      </c>
      <c r="M59" s="10"/>
    </row>
    <row r="60" spans="1:13" ht="15.7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2">
        <v>57</v>
      </c>
      <c r="K60" s="13" t="s">
        <v>99</v>
      </c>
      <c r="L60" s="10" t="str">
        <f t="shared" si="5"/>
        <v>Lima Puluh Tujuh</v>
      </c>
      <c r="M60" s="10"/>
    </row>
    <row r="61" spans="1:13" ht="15.7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2">
        <v>58</v>
      </c>
      <c r="K61" s="13" t="s">
        <v>100</v>
      </c>
      <c r="L61" s="10" t="str">
        <f t="shared" si="5"/>
        <v>Lima Puluh Delapan</v>
      </c>
      <c r="M61" s="10"/>
    </row>
    <row r="62" spans="1:13" ht="15.7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2">
        <v>59</v>
      </c>
      <c r="K62" s="13" t="s">
        <v>101</v>
      </c>
      <c r="L62" s="10" t="str">
        <f t="shared" si="5"/>
        <v>Lima Puluh Sembilan</v>
      </c>
      <c r="M62" s="10"/>
    </row>
    <row r="63" spans="1:13" ht="15.7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2">
        <v>60</v>
      </c>
      <c r="K63" s="13" t="s">
        <v>102</v>
      </c>
      <c r="L63" s="10" t="s">
        <v>103</v>
      </c>
      <c r="M63" s="10"/>
    </row>
    <row r="64" spans="1:13" ht="15.7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2">
        <v>61</v>
      </c>
      <c r="K64" s="13" t="s">
        <v>104</v>
      </c>
      <c r="L64" s="10" t="str">
        <f t="shared" ref="L64:L72" si="6">$L$63&amp;" "&amp;L4</f>
        <v>Enam Puluh Satu</v>
      </c>
      <c r="M64" s="10"/>
    </row>
    <row r="65" spans="1:13" ht="15.7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2">
        <v>62</v>
      </c>
      <c r="K65" s="13" t="s">
        <v>105</v>
      </c>
      <c r="L65" s="10" t="str">
        <f t="shared" si="6"/>
        <v>Enam Puluh Dua</v>
      </c>
      <c r="M65" s="10"/>
    </row>
    <row r="66" spans="1:13" ht="15.7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2">
        <v>63</v>
      </c>
      <c r="K66" s="13" t="s">
        <v>106</v>
      </c>
      <c r="L66" s="10" t="str">
        <f t="shared" si="6"/>
        <v>Enam Puluh Tiga</v>
      </c>
      <c r="M66" s="10"/>
    </row>
    <row r="67" spans="1:13" ht="15.7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2">
        <v>64</v>
      </c>
      <c r="K67" s="13" t="s">
        <v>107</v>
      </c>
      <c r="L67" s="10" t="str">
        <f t="shared" si="6"/>
        <v>Enam Puluh Empat</v>
      </c>
      <c r="M67" s="10"/>
    </row>
    <row r="68" spans="1:13" ht="15.7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2">
        <v>65</v>
      </c>
      <c r="K68" s="13" t="s">
        <v>108</v>
      </c>
      <c r="L68" s="10" t="str">
        <f t="shared" si="6"/>
        <v>Enam Puluh Lima</v>
      </c>
      <c r="M68" s="10"/>
    </row>
    <row r="69" spans="1:13" ht="15.7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2">
        <v>66</v>
      </c>
      <c r="K69" s="13" t="s">
        <v>109</v>
      </c>
      <c r="L69" s="10" t="str">
        <f t="shared" si="6"/>
        <v>Enam Puluh Enam</v>
      </c>
      <c r="M69" s="10"/>
    </row>
    <row r="70" spans="1:13" ht="15.7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2">
        <v>67</v>
      </c>
      <c r="K70" s="13" t="s">
        <v>110</v>
      </c>
      <c r="L70" s="10" t="str">
        <f t="shared" si="6"/>
        <v>Enam Puluh Tujuh</v>
      </c>
      <c r="M70" s="10"/>
    </row>
    <row r="71" spans="1:13" ht="15.7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2">
        <v>68</v>
      </c>
      <c r="K71" s="13" t="s">
        <v>111</v>
      </c>
      <c r="L71" s="10" t="str">
        <f t="shared" si="6"/>
        <v>Enam Puluh Delapan</v>
      </c>
      <c r="M71" s="10"/>
    </row>
    <row r="72" spans="1:13" ht="15.7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2">
        <v>69</v>
      </c>
      <c r="K72" s="13" t="s">
        <v>112</v>
      </c>
      <c r="L72" s="10" t="str">
        <f t="shared" si="6"/>
        <v>Enam Puluh Sembilan</v>
      </c>
      <c r="M72" s="10"/>
    </row>
    <row r="73" spans="1:13" ht="15.7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2">
        <v>70</v>
      </c>
      <c r="K73" s="13" t="s">
        <v>113</v>
      </c>
      <c r="L73" s="10" t="s">
        <v>114</v>
      </c>
      <c r="M73" s="10"/>
    </row>
    <row r="74" spans="1:13" ht="15.7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2">
        <v>71</v>
      </c>
      <c r="K74" s="13" t="s">
        <v>115</v>
      </c>
      <c r="L74" s="10" t="str">
        <f t="shared" ref="L74:L82" si="7">$L$73&amp;" "&amp;L4</f>
        <v>Tujuh Puluh Satu</v>
      </c>
      <c r="M74" s="10"/>
    </row>
    <row r="75" spans="1:13" ht="15.7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2">
        <v>72</v>
      </c>
      <c r="K75" s="13" t="s">
        <v>116</v>
      </c>
      <c r="L75" s="10" t="str">
        <f t="shared" si="7"/>
        <v>Tujuh Puluh Dua</v>
      </c>
      <c r="M75" s="10"/>
    </row>
    <row r="76" spans="1:13" ht="15.7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2">
        <v>73</v>
      </c>
      <c r="K76" s="13" t="s">
        <v>117</v>
      </c>
      <c r="L76" s="10" t="str">
        <f t="shared" si="7"/>
        <v>Tujuh Puluh Tiga</v>
      </c>
      <c r="M76" s="10"/>
    </row>
    <row r="77" spans="1:13" ht="15.7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2">
        <v>74</v>
      </c>
      <c r="K77" s="13" t="s">
        <v>118</v>
      </c>
      <c r="L77" s="10" t="str">
        <f t="shared" si="7"/>
        <v>Tujuh Puluh Empat</v>
      </c>
      <c r="M77" s="10"/>
    </row>
    <row r="78" spans="1:13" ht="15.7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2">
        <v>75</v>
      </c>
      <c r="K78" s="13" t="s">
        <v>119</v>
      </c>
      <c r="L78" s="10" t="str">
        <f t="shared" si="7"/>
        <v>Tujuh Puluh Lima</v>
      </c>
      <c r="M78" s="10"/>
    </row>
    <row r="79" spans="1:13" ht="15.7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2">
        <v>76</v>
      </c>
      <c r="K79" s="13" t="s">
        <v>120</v>
      </c>
      <c r="L79" s="10" t="str">
        <f t="shared" si="7"/>
        <v>Tujuh Puluh Enam</v>
      </c>
      <c r="M79" s="10"/>
    </row>
    <row r="80" spans="1:13" ht="15.7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2">
        <v>77</v>
      </c>
      <c r="K80" s="13" t="s">
        <v>121</v>
      </c>
      <c r="L80" s="10" t="str">
        <f t="shared" si="7"/>
        <v>Tujuh Puluh Tujuh</v>
      </c>
      <c r="M80" s="10"/>
    </row>
    <row r="81" spans="1:13" ht="15.7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2">
        <v>78</v>
      </c>
      <c r="K81" s="13" t="s">
        <v>122</v>
      </c>
      <c r="L81" s="10" t="str">
        <f t="shared" si="7"/>
        <v>Tujuh Puluh Delapan</v>
      </c>
      <c r="M81" s="10"/>
    </row>
    <row r="82" spans="1:13" ht="15.7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2">
        <v>79</v>
      </c>
      <c r="K82" s="13" t="s">
        <v>123</v>
      </c>
      <c r="L82" s="10" t="str">
        <f t="shared" si="7"/>
        <v>Tujuh Puluh Sembilan</v>
      </c>
      <c r="M82" s="10"/>
    </row>
    <row r="83" spans="1:13" ht="15.7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2">
        <v>80</v>
      </c>
      <c r="K83" s="13" t="s">
        <v>124</v>
      </c>
      <c r="L83" s="10" t="s">
        <v>125</v>
      </c>
      <c r="M83" s="10"/>
    </row>
    <row r="84" spans="1:13" ht="15.7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2">
        <v>81</v>
      </c>
      <c r="K84" s="13" t="s">
        <v>126</v>
      </c>
      <c r="L84" s="10" t="str">
        <f t="shared" ref="L84:L92" si="8">$L$83&amp;" "&amp;L4</f>
        <v>Delapan Puluh Satu</v>
      </c>
      <c r="M84" s="10"/>
    </row>
    <row r="85" spans="1:13" ht="15.7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2">
        <v>82</v>
      </c>
      <c r="K85" s="13" t="s">
        <v>127</v>
      </c>
      <c r="L85" s="10" t="str">
        <f t="shared" si="8"/>
        <v>Delapan Puluh Dua</v>
      </c>
      <c r="M85" s="10"/>
    </row>
    <row r="86" spans="1:13" ht="15.7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2">
        <v>83</v>
      </c>
      <c r="K86" s="13" t="s">
        <v>128</v>
      </c>
      <c r="L86" s="10" t="str">
        <f t="shared" si="8"/>
        <v>Delapan Puluh Tiga</v>
      </c>
      <c r="M86" s="10"/>
    </row>
    <row r="87" spans="1:13" ht="15.7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2">
        <v>84</v>
      </c>
      <c r="K87" s="13" t="s">
        <v>129</v>
      </c>
      <c r="L87" s="10" t="str">
        <f t="shared" si="8"/>
        <v>Delapan Puluh Empat</v>
      </c>
      <c r="M87" s="10"/>
    </row>
    <row r="88" spans="1:13" ht="15.7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2">
        <v>85</v>
      </c>
      <c r="K88" s="13" t="s">
        <v>130</v>
      </c>
      <c r="L88" s="10" t="str">
        <f t="shared" si="8"/>
        <v>Delapan Puluh Lima</v>
      </c>
      <c r="M88" s="10"/>
    </row>
    <row r="89" spans="1:13" ht="15.7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2">
        <v>86</v>
      </c>
      <c r="K89" s="13" t="s">
        <v>131</v>
      </c>
      <c r="L89" s="10" t="str">
        <f t="shared" si="8"/>
        <v>Delapan Puluh Enam</v>
      </c>
      <c r="M89" s="10"/>
    </row>
    <row r="90" spans="1:13" ht="15.7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2">
        <v>87</v>
      </c>
      <c r="K90" s="13" t="s">
        <v>132</v>
      </c>
      <c r="L90" s="10" t="str">
        <f t="shared" si="8"/>
        <v>Delapan Puluh Tujuh</v>
      </c>
      <c r="M90" s="10"/>
    </row>
    <row r="91" spans="1:13" ht="15.7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2">
        <v>88</v>
      </c>
      <c r="K91" s="13" t="s">
        <v>133</v>
      </c>
      <c r="L91" s="10" t="str">
        <f t="shared" si="8"/>
        <v>Delapan Puluh Delapan</v>
      </c>
      <c r="M91" s="10"/>
    </row>
    <row r="92" spans="1:13" ht="15.7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2">
        <v>89</v>
      </c>
      <c r="K92" s="13" t="s">
        <v>134</v>
      </c>
      <c r="L92" s="10" t="str">
        <f t="shared" si="8"/>
        <v>Delapan Puluh Sembilan</v>
      </c>
      <c r="M92" s="10"/>
    </row>
    <row r="93" spans="1:13" ht="15.7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2">
        <v>90</v>
      </c>
      <c r="K93" s="13" t="s">
        <v>135</v>
      </c>
      <c r="L93" s="10" t="s">
        <v>136</v>
      </c>
      <c r="M93" s="10"/>
    </row>
    <row r="94" spans="1:13" ht="15.7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2">
        <v>91</v>
      </c>
      <c r="K94" s="13" t="s">
        <v>137</v>
      </c>
      <c r="L94" s="10" t="str">
        <f t="shared" ref="L94:L102" si="9">$L$93&amp;" "&amp;L4</f>
        <v>Sembilan Puluh Satu</v>
      </c>
      <c r="M94" s="10"/>
    </row>
    <row r="95" spans="1:13" ht="15.7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2">
        <v>92</v>
      </c>
      <c r="K95" s="13" t="s">
        <v>138</v>
      </c>
      <c r="L95" s="10" t="str">
        <f t="shared" si="9"/>
        <v>Sembilan Puluh Dua</v>
      </c>
      <c r="M95" s="10"/>
    </row>
    <row r="96" spans="1:13" ht="15.7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2">
        <v>93</v>
      </c>
      <c r="K96" s="13" t="s">
        <v>139</v>
      </c>
      <c r="L96" s="10" t="str">
        <f t="shared" si="9"/>
        <v>Sembilan Puluh Tiga</v>
      </c>
      <c r="M96" s="10"/>
    </row>
    <row r="97" spans="1:13" ht="15.7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2">
        <v>94</v>
      </c>
      <c r="K97" s="13" t="s">
        <v>140</v>
      </c>
      <c r="L97" s="10" t="str">
        <f t="shared" si="9"/>
        <v>Sembilan Puluh Empat</v>
      </c>
      <c r="M97" s="10"/>
    </row>
    <row r="98" spans="1:13" ht="15.7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2">
        <v>95</v>
      </c>
      <c r="K98" s="13" t="s">
        <v>141</v>
      </c>
      <c r="L98" s="10" t="str">
        <f t="shared" si="9"/>
        <v>Sembilan Puluh Lima</v>
      </c>
      <c r="M98" s="10"/>
    </row>
    <row r="99" spans="1:13" ht="15.7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2">
        <v>96</v>
      </c>
      <c r="K99" s="13" t="s">
        <v>142</v>
      </c>
      <c r="L99" s="10" t="str">
        <f t="shared" si="9"/>
        <v>Sembilan Puluh Enam</v>
      </c>
      <c r="M99" s="10"/>
    </row>
    <row r="100" spans="1:13" ht="15.7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2">
        <v>97</v>
      </c>
      <c r="K100" s="13" t="s">
        <v>143</v>
      </c>
      <c r="L100" s="10" t="str">
        <f t="shared" si="9"/>
        <v>Sembilan Puluh Tujuh</v>
      </c>
      <c r="M100" s="10"/>
    </row>
    <row r="101" spans="1:13" ht="15.7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2">
        <v>98</v>
      </c>
      <c r="K101" s="13" t="s">
        <v>144</v>
      </c>
      <c r="L101" s="10" t="str">
        <f t="shared" si="9"/>
        <v>Sembilan Puluh Delapan</v>
      </c>
      <c r="M101" s="10"/>
    </row>
    <row r="102" spans="1:13" ht="15.7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2">
        <v>99</v>
      </c>
      <c r="K102" s="13" t="s">
        <v>145</v>
      </c>
      <c r="L102" s="10" t="str">
        <f t="shared" si="9"/>
        <v>Sembilan Puluh Sembilan</v>
      </c>
      <c r="M102" s="10"/>
    </row>
  </sheetData>
  <mergeCells count="2">
    <mergeCell ref="A5:D5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Nicholas Jacky</cp:lastModifiedBy>
  <cp:lastPrinted>2026-06-27T09:28:14Z</cp:lastPrinted>
  <dcterms:created xsi:type="dcterms:W3CDTF">2010-03-26T07:46:20Z</dcterms:created>
  <dcterms:modified xsi:type="dcterms:W3CDTF">2026-07-10T10:40:45Z</dcterms:modified>
</cp:coreProperties>
</file>